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80" windowHeight="14600" activeTab="1"/>
  </bookViews>
  <sheets>
    <sheet name="国标下载清单" sheetId="1" r:id="rId1"/>
    <sheet name="采购清单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<sst xmlns="http://schemas.openxmlformats.org/spreadsheetml/2006/main" count="219" uniqueCount="166">
  <si>
    <t>国标电子文本下载清单</t>
  </si>
  <si>
    <t>价格核查：2026-10-09；单位：元。点击“打开官网”，下载后在黄色栏记录状态。</t>
  </si>
  <si>
    <t>“有电子文本”不保证原生文字／矢量；下载完整PDF后，先验质再替换。最终价格以结算为准。</t>
  </si>
  <si>
    <t>序号</t>
  </si>
  <si>
    <t>标准号</t>
  </si>
  <si>
    <t>内容</t>
  </si>
  <si>
    <t>当前文件</t>
  </si>
  <si>
    <t>标价（元）</t>
  </si>
  <si>
    <t>展示折扣（元）</t>
  </si>
  <si>
    <t>官方入口</t>
  </si>
  <si>
    <t>官方来源网址</t>
  </si>
  <si>
    <t>GB/T 4458.6-2002</t>
  </si>
  <si>
    <t>剖视图和断面图</t>
  </si>
  <si>
    <t>无文本层的扫描件</t>
  </si>
  <si>
    <t>打开官网</t>
  </si>
  <si>
    <t>https://www.spc.org.cn/online/0cbacc468f4fbbc74a24ec596fcf4e6e.html</t>
  </si>
  <si>
    <t>GB/T 131-2006</t>
  </si>
  <si>
    <t>表面结构</t>
  </si>
  <si>
    <t>https://www.spc.org.cn/online/ec2a4abcfa0a424586f0a7ae81198c3a.html</t>
  </si>
  <si>
    <t>GB/T 1182-2018</t>
  </si>
  <si>
    <t>几何公差</t>
  </si>
  <si>
    <t>https://www.spc.org.cn/online/aaee2cdf8fd6511796327d8f28f90b77.html</t>
  </si>
  <si>
    <t>GB/T 15754-2025</t>
  </si>
  <si>
    <t>圆锥</t>
  </si>
  <si>
    <t>https://www.spc.org.cn/online/c23af6af93cae3bd30f1895ae521399a.html</t>
  </si>
  <si>
    <t>GB/T 4459.7-2017</t>
  </si>
  <si>
    <t>滚动轴承</t>
  </si>
  <si>
    <t>https://www.spc.org.cn/online/b2f65f50b27d21b9a0e3fdd8babe96a1.html</t>
  </si>
  <si>
    <t>GB/T 4459.1-1995</t>
  </si>
  <si>
    <t>螺纹</t>
  </si>
  <si>
    <t>https://www.spc.org.cn/online/e5591808492e46832e46c65ad7f0469f.html</t>
  </si>
  <si>
    <t>GB/T 4460-2013</t>
  </si>
  <si>
    <t>机构运动简图</t>
  </si>
  <si>
    <t>https://www.spc.org.cn/online/d258cb4fa1fd0fe385f5a4b0960bbef4.html</t>
  </si>
  <si>
    <t>GB/T 4459.8-2009</t>
  </si>
  <si>
    <t>动密封圈第1部分</t>
  </si>
  <si>
    <t>https://www.spc.org.cn/online/e0c923ebe3a54c6f7b990aa8ff3eecc1.html</t>
  </si>
  <si>
    <t>GB/T 4459.9-2009</t>
  </si>
  <si>
    <t>动密封圈第2部分</t>
  </si>
  <si>
    <t>https://www.spc.org.cn/online/4df437c27a091712009aa7c75e862110.html</t>
  </si>
  <si>
    <t>GB/T 4457.4-2002</t>
  </si>
  <si>
    <t>图线</t>
  </si>
  <si>
    <t>扫描图＋隐藏文字层</t>
  </si>
  <si>
    <t>https://www.spc.org.cn/online/ccfd3c4b30052ab3be432d1faf5706e1.html</t>
  </si>
  <si>
    <t>GB/T 4459.3-2000</t>
  </si>
  <si>
    <t>花键</t>
  </si>
  <si>
    <t>https://www.spc.org.cn/online/90c82639f0bedf67084c31db4d3b2da3.html</t>
  </si>
  <si>
    <t>GB/T 4459.5-1999</t>
  </si>
  <si>
    <t>中心孔</t>
  </si>
  <si>
    <t>https://www.spc.org.cn/online/b83d9d7272e53dde9e162402d78f4280.html</t>
  </si>
  <si>
    <t>GB/T 4458.5-2003</t>
  </si>
  <si>
    <t>尺寸公差与配合</t>
  </si>
  <si>
    <t>图例复核候选</t>
  </si>
  <si>
    <t>https://www.spc.org.cn/online/755a7d432cc87cc2f3eae316b2aa9e96.html</t>
  </si>
  <si>
    <t>GB/T 4458.4-2003</t>
  </si>
  <si>
    <t>尺寸注法</t>
  </si>
  <si>
    <t>可见文字层＋部分图例图片</t>
  </si>
  <si>
    <t>https://www.spc.org.cn/online/1696b93ee407ba3cdcc57a5746c1b530.html</t>
  </si>
  <si>
    <t>GB/T 4458.1-2002</t>
  </si>
  <si>
    <t>视图</t>
  </si>
  <si>
    <t>https://www.spc.org.cn/online/89ada548b3db0474069a6f3fbadd632e.html</t>
  </si>
  <si>
    <t>GB/T 4459.2-2003</t>
  </si>
  <si>
    <t>齿轮</t>
  </si>
  <si>
    <t>https://www.spc.org.cn/online/d718ac17c34a5e66dc3a20bbc918baf3.html</t>
  </si>
  <si>
    <t>GB/T 4459.4-2003</t>
  </si>
  <si>
    <t>弹簧</t>
  </si>
  <si>
    <t>https://www.spc.org.cn/online/4f28539ce841ea8e3977b9cfc1d14d32.html</t>
  </si>
  <si>
    <t>GB/T 4458.2-2003</t>
  </si>
  <si>
    <t>装配图序号</t>
  </si>
  <si>
    <t>https://www.spc.org.cn/online/9cc6ee2ac555acf522276ede65986cc9.html</t>
  </si>
  <si>
    <t>12份扫描类候选合计</t>
  </si>
  <si>
    <t>候选不代表必须重新购买。</t>
  </si>
  <si>
    <t>新增5份核验候选合计</t>
  </si>
  <si>
    <t>第14、15项优先核验；第16—18项按范围启用。</t>
  </si>
  <si>
    <t>全部18份候选合计</t>
  </si>
  <si>
    <t>已下载数量</t>
  </si>
  <si>
    <t>可替换数量</t>
  </si>
  <si>
    <t>机械图纸知识库 · 采购清单</t>
  </si>
  <si>
    <t>来源：《机械图纸知识库_资料源与采购方案.md》第二节「采购清单」（ISBN / 版次 / 定价已核实，内容质量未实测）；整理：2026-10-15。</t>
  </si>
  <si>
    <t>成大先《机械设计手册》：大同 2026-10-15 决定「不延后」，作为正式采购项列入（原方案文档曾因设计向／价高建议延后）。</t>
  </si>
  <si>
    <t>书名</t>
  </si>
  <si>
    <t>作者/主编</t>
  </si>
  <si>
    <t>出版社</t>
  </si>
  <si>
    <t>版次/出版</t>
  </si>
  <si>
    <t>ISBN</t>
  </si>
  <si>
    <t>定价（元）</t>
  </si>
  <si>
    <t>优先级</t>
  </si>
  <si>
    <t>备注</t>
  </si>
  <si>
    <t>《互换性与技术测量》第2版</t>
  </si>
  <si>
    <t>孙伦业、李君（主编）</t>
  </si>
  <si>
    <t>电子工业出版社</t>
  </si>
  <si>
    <t>第2版 / 2026-08</t>
  </si>
  <si>
    <t>9787121530692</t>
  </si>
  <si>
    <t>第一优先（公差配合）</t>
  </si>
  <si>
    <t>7 章命中核心条目：第2章孔/轴极限与配合↔GB/T 1800.1-2020；第3章几何公差↔GB/T 1182-2018；第4章表面粗糙度↔GB/T 131-2006；第6章滚动轴承↔GB/T 4459.7-2017；第7章平键、花键↔GB/T 4459.3-2000；第8章圆锥↔GB/T 15754-2025；第9章螺纹↔GB/T 4459.1-1995。2026-08 最新版，¥49，性价比最高。</t>
  </si>
  <si>
    <t>《互换性与测量技术》第4版</t>
  </si>
  <si>
    <t>周文玲</t>
  </si>
  <si>
    <t>机械工业出版社</t>
  </si>
  <si>
    <t>第4版</t>
  </si>
  <si>
    <t>978-7-111-76866-1</t>
  </si>
  <si>
    <t>未核实</t>
  </si>
  <si>
    <t>第一优先（备选）</t>
  </si>
  <si>
    <t>「十四五」职业教育国家规划教材，采用现行国标。原文档未标注定价。</t>
  </si>
  <si>
    <t>《机械制图》第8版</t>
  </si>
  <si>
    <t>何铭新、钱可强、徐祖茂、卜王辉</t>
  </si>
  <si>
    <t>高等教育出版社</t>
  </si>
  <si>
    <t>第8版 / 2025-08</t>
  </si>
  <si>
    <t>9787040650426</t>
  </si>
  <si>
    <t>第二优先（推荐·书甲）</t>
  </si>
  <si>
    <t>453 页。第7版为「十二五」国家级规划教材（ISBN 9787040441895，2016 年，416 页）。标准时效性最好、价格更低。</t>
  </si>
  <si>
    <t>《机械制图》（机类、近机类）</t>
  </si>
  <si>
    <t>田凌、冯涓</t>
  </si>
  <si>
    <t>清华大学出版社</t>
  </si>
  <si>
    <t>第4版（第3版 2013 年）</t>
  </si>
  <si>
    <t>9787302329718</t>
  </si>
  <si>
    <t>第二优先（备选·书乙）</t>
  </si>
  <si>
    <t>清华国家级精品课教材，2012 年获清华优秀教材特等奖。与书甲两本选一本即可。</t>
  </si>
  <si>
    <t>《视听图解200个机械制图正误辨析实例》</t>
  </si>
  <si>
    <t>崔素华、冯桂辰 编著</t>
  </si>
  <si>
    <t>科学出版社</t>
  </si>
  <si>
    <t>2015.6</t>
  </si>
  <si>
    <t>978-7-03-044318-2</t>
  </si>
  <si>
    <t>第三优先（正误图册）</t>
  </si>
  <si>
    <t>270 千字。涵盖制图国标规定、立体及表面交线投影、组合体、轴测图、图样画法、标准件和常用件、零件图、装配图。(a) 错误 / (b) 正确 对照结构；¥49 换 200 个结构化正误案例，本轮性价比最高。</t>
  </si>
  <si>
    <t>《机械制图正误解析图册》</t>
  </si>
  <si>
    <t>(a) 错误 / (b) 正确 对照结构。原文档未给出作者／出版社／ISBN／定价。</t>
  </si>
  <si>
    <t>《机械制图常见错误经典示例图册》</t>
  </si>
  <si>
    <t>成大先《机械设计手册》</t>
  </si>
  <si>
    <t>成大先</t>
  </si>
  <si>
    <t>数百元（未核实）</t>
  </si>
  <si>
    <t>采购（不延后）</t>
  </si>
  <si>
    <t>大同 2026-10-15 决定不延后；「老师傅经验」最集中的载体，含大量结构工艺性知识（原方案文档因设计向、价格高曾建议延后）。定价原文档未核实。</t>
  </si>
  <si>
    <t>采购顺序与预算（源文档 2.5）</t>
  </si>
  <si>
    <t>序</t>
  </si>
  <si>
    <t>书</t>
  </si>
  <si>
    <t>价格</t>
  </si>
  <si>
    <t>补什么</t>
  </si>
  <si>
    <t>孙伦业《互换性与技术测量》第2版</t>
  </si>
  <si>
    <t>¥49</t>
  </si>
  <si>
    <t>公差配合，7 章命中核心条目</t>
  </si>
  <si>
    <t>何铭新《机械制图》第8版</t>
  </si>
  <si>
    <t>¥59</t>
  </si>
  <si>
    <t>对象识别（零件图/装配图/标准件）</t>
  </si>
  <si>
    <t>200 个现成正误案例</t>
  </si>
  <si>
    <t>其他正误图册 2-3 本</t>
  </si>
  <si>
    <t>~¥150</t>
  </si>
  <si>
    <t>累计 500+ 案例</t>
  </si>
  <si>
    <t>定价未核实（数百元）</t>
  </si>
  <si>
    <t>工艺合理性 / 结构工艺性知识（大同 2026-10-15 指定不延后）</t>
  </si>
  <si>
    <t>注：第一批 ¥157（前三项）即可覆盖主要缺口；成大先《机械设计手册》按大同 2026-10-15 决定同步采购，因定价未核实需单独列预算。</t>
  </si>
  <si>
    <t>公开数据集 · 注册申请（源文档 四）</t>
  </si>
  <si>
    <t>数据源</t>
  </si>
  <si>
    <t>数据集</t>
  </si>
  <si>
    <t>内容/规模</t>
  </si>
  <si>
    <t>格式</t>
  </si>
  <si>
    <t>获取方式</t>
  </si>
  <si>
    <t>国家基础学科公共科学数据中心</t>
  </si>
  <si>
    <t>刀具二维图纸（哈理工）</t>
  </si>
  <si>
    <t>1.27GB / 335 个文件；符合 ISO13399</t>
  </si>
  <si>
    <t>DXF</t>
  </si>
  <si>
    <t>注册申请（国内合法）</t>
  </si>
  <si>
    <t>逆向喷流样机（清华）</t>
  </si>
  <si>
    <t>含 DWG / DXF 源文件</t>
  </si>
  <si>
    <t>DWG、DXF</t>
  </si>
  <si>
    <t>用途：DWG/DXF 是判据的「真值校验基准」（不是训练材料）；注意 DWG→DXF 属有损转换。申请：注册国家基础学科公共科学数据中心账号后提交，国内合法。</t>
  </si>
  <si>
    <t>注：源文档第四节另有 4 个可获取公开数据集（ParaCAD / TriView2CAD / TROCR / ArchCAD-400K），如需要可一并登记为申请项。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</si>
</sst>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4"/>
      <color rgb="FF243447"/>
      <name val="Carlito"/>
      <charset val="134"/>
    </font>
    <font>
      <sz val="10"/>
      <color rgb="FF6B7280"/>
      <name val="Carlito"/>
      <charset val="134"/>
    </font>
    <font>
      <b/>
      <sz val="11"/>
      <color rgb="FFFFFFFF"/>
      <name val="Carlito"/>
      <charset val="134"/>
    </font>
    <font>
      <b/>
      <sz val="12"/>
      <color rgb="FF243447"/>
      <name val="Carlito"/>
      <charset val="134"/>
    </font>
    <font>
      <sz val="11"/>
      <color rgb="FF243447"/>
      <name val="Arial"/>
      <charset val="134"/>
    </font>
    <font>
      <b/>
      <sz val="16"/>
      <color rgb="FF243447"/>
      <name val="Arial"/>
      <charset val="134"/>
    </font>
    <font>
      <sz val="10"/>
      <color rgb="FF5B6570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-简"/>
      <charset val="134"/>
    </font>
    <font>
      <sz val="11"/>
      <color rgb="FF243447"/>
      <name val="宋体-简"/>
      <charset val="134"/>
    </font>
    <font>
      <b/>
      <sz val="11"/>
      <color rgb="FF243447"/>
      <name val="Arial"/>
      <charset val="134"/>
    </font>
    <font>
      <u/>
      <sz val="11"/>
      <color rgb="FF1769A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486B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AAB7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4" borderId="3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">
      <alignment vertical="center"/>
    </xf>
    <xf numFmtId="0" fontId="20" fillId="0" borderId="4">
      <alignment vertical="center"/>
    </xf>
    <xf numFmtId="0" fontId="21" fillId="0" borderId="5">
      <alignment vertical="center"/>
    </xf>
    <xf numFmtId="0" fontId="21" fillId="0" borderId="0">
      <alignment vertical="center"/>
    </xf>
    <xf numFmtId="0" fontId="22" fillId="5" borderId="6">
      <alignment vertical="center"/>
    </xf>
    <xf numFmtId="0" fontId="23" fillId="6" borderId="7">
      <alignment vertical="center"/>
    </xf>
    <xf numFmtId="0" fontId="24" fillId="6" borderId="6">
      <alignment vertical="center"/>
    </xf>
    <xf numFmtId="0" fontId="25" fillId="7" borderId="8">
      <alignment vertical="center"/>
    </xf>
    <xf numFmtId="0" fontId="26" fillId="0" borderId="9">
      <alignment vertical="center"/>
    </xf>
    <xf numFmtId="0" fontId="27" fillId="0" borderId="1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  <xf numFmtId="0" fontId="0" fillId="0" borderId="0"/>
  </cellStyleXfs>
  <cellXfs count="26">
    <xf numFmtId="0" fontId="0" fillId="0" borderId="0" xfId="49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/>
    <xf numFmtId="0" fontId="5" fillId="0" borderId="0" xfId="49" applyFont="1" applyAlignment="1">
      <alignment vertical="center"/>
    </xf>
    <xf numFmtId="0" fontId="6" fillId="0" borderId="0" xfId="49" applyFont="1" applyAlignment="1">
      <alignment vertical="center"/>
    </xf>
    <xf numFmtId="0" fontId="7" fillId="0" borderId="0" xfId="49" applyFont="1" applyAlignment="1">
      <alignment vertical="center"/>
    </xf>
    <xf numFmtId="0" fontId="8" fillId="2" borderId="0" xfId="49" applyFont="1" applyFill="1" applyAlignment="1">
      <alignment horizontal="center" vertical="center"/>
    </xf>
    <xf numFmtId="0" fontId="9" fillId="2" borderId="0" xfId="49" applyFont="1" applyFill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10" fillId="0" borderId="0" xfId="49" applyFont="1" applyAlignment="1">
      <alignment vertical="center"/>
    </xf>
    <xf numFmtId="0" fontId="5" fillId="3" borderId="0" xfId="49" applyFont="1" applyFill="1" applyAlignment="1">
      <alignment horizontal="center" vertical="center"/>
    </xf>
    <xf numFmtId="0" fontId="5" fillId="3" borderId="0" xfId="49" applyFont="1" applyFill="1" applyAlignment="1">
      <alignment vertical="center"/>
    </xf>
    <xf numFmtId="0" fontId="10" fillId="3" borderId="0" xfId="49" applyFont="1" applyFill="1" applyAlignment="1">
      <alignment vertical="center"/>
    </xf>
    <xf numFmtId="0" fontId="11" fillId="0" borderId="2" xfId="49" applyFont="1" applyBorder="1" applyAlignment="1">
      <alignment vertical="center"/>
    </xf>
    <xf numFmtId="0" fontId="11" fillId="0" borderId="0" xfId="49" applyFont="1" applyAlignment="1">
      <alignment vertical="center"/>
    </xf>
    <xf numFmtId="3" fontId="5" fillId="0" borderId="0" xfId="49" applyNumberFormat="1" applyFont="1" applyAlignment="1">
      <alignment horizontal="right" vertical="center"/>
    </xf>
    <xf numFmtId="0" fontId="12" fillId="0" borderId="0" xfId="49" applyFont="1" applyAlignment="1">
      <alignment vertical="center"/>
    </xf>
    <xf numFmtId="3" fontId="5" fillId="3" borderId="0" xfId="49" applyNumberFormat="1" applyFont="1" applyFill="1" applyAlignment="1">
      <alignment horizontal="right" vertical="center"/>
    </xf>
    <xf numFmtId="0" fontId="12" fillId="3" borderId="0" xfId="49" applyFont="1" applyFill="1" applyAlignment="1">
      <alignment vertical="center"/>
    </xf>
    <xf numFmtId="3" fontId="11" fillId="0" borderId="2" xfId="49" applyNumberFormat="1" applyFont="1" applyBorder="1" applyAlignment="1">
      <alignment horizontal="right" vertical="center"/>
    </xf>
    <xf numFmtId="3" fontId="11" fillId="0" borderId="0" xfId="49" applyNumberFormat="1" applyFont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ndardsDownload" displayName="StandardsDownload" ref="A6:H24" totalsRowShown="0">
  <autoFilter xmlns:etc="http://www.wps.cn/officeDocument/2017/etCustomData" ref="A6:H24" etc:filterBottomFollowUsedRange="0"/>
  <tableColumns count="8">
    <tableColumn id="1" name="序号"/>
    <tableColumn id="2" name="标准号"/>
    <tableColumn id="3" name="内容"/>
    <tableColumn id="4" name="当前文件"/>
    <tableColumn id="5" name="标价（元）"/>
    <tableColumn id="6" name="展示折扣（元）"/>
    <tableColumn id="8" name="官方入口"/>
    <tableColumn id="11" name="官方来源网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pc.org.cn/online/e0c923ebe3a54c6f7b990aa8ff3eecc1.html" TargetMode="External"/><Relationship Id="rId8" Type="http://schemas.openxmlformats.org/officeDocument/2006/relationships/hyperlink" Target="https://www.spc.org.cn/online/d258cb4fa1fd0fe385f5a4b0960bbef4.html" TargetMode="External"/><Relationship Id="rId7" Type="http://schemas.openxmlformats.org/officeDocument/2006/relationships/hyperlink" Target="https://www.spc.org.cn/online/e5591808492e46832e46c65ad7f0469f.html" TargetMode="External"/><Relationship Id="rId6" Type="http://schemas.openxmlformats.org/officeDocument/2006/relationships/hyperlink" Target="https://www.spc.org.cn/online/b2f65f50b27d21b9a0e3fdd8babe96a1.html" TargetMode="External"/><Relationship Id="rId5" Type="http://schemas.openxmlformats.org/officeDocument/2006/relationships/hyperlink" Target="https://www.spc.org.cn/online/c23af6af93cae3bd30f1895ae521399a.html" TargetMode="External"/><Relationship Id="rId4" Type="http://schemas.openxmlformats.org/officeDocument/2006/relationships/hyperlink" Target="https://www.spc.org.cn/online/aaee2cdf8fd6511796327d8f28f90b77.html" TargetMode="External"/><Relationship Id="rId3" Type="http://schemas.openxmlformats.org/officeDocument/2006/relationships/hyperlink" Target="https://www.spc.org.cn/online/ec2a4abcfa0a424586f0a7ae81198c3a.html" TargetMode="External"/><Relationship Id="rId2" Type="http://schemas.openxmlformats.org/officeDocument/2006/relationships/hyperlink" Target="https://www.spc.org.cn/online/0cbacc468f4fbbc74a24ec596fcf4e6e.html" TargetMode="External"/><Relationship Id="rId19" Type="http://schemas.openxmlformats.org/officeDocument/2006/relationships/hyperlink" Target="https://www.spc.org.cn/online/9cc6ee2ac555acf522276ede65986cc9.html" TargetMode="External"/><Relationship Id="rId18" Type="http://schemas.openxmlformats.org/officeDocument/2006/relationships/hyperlink" Target="https://www.spc.org.cn/online/4f28539ce841ea8e3977b9cfc1d14d32.html" TargetMode="External"/><Relationship Id="rId17" Type="http://schemas.openxmlformats.org/officeDocument/2006/relationships/hyperlink" Target="https://www.spc.org.cn/online/d718ac17c34a5e66dc3a20bbc918baf3.html" TargetMode="External"/><Relationship Id="rId16" Type="http://schemas.openxmlformats.org/officeDocument/2006/relationships/hyperlink" Target="https://www.spc.org.cn/online/89ada548b3db0474069a6f3fbadd632e.html" TargetMode="External"/><Relationship Id="rId15" Type="http://schemas.openxmlformats.org/officeDocument/2006/relationships/hyperlink" Target="https://www.spc.org.cn/online/1696b93ee407ba3cdcc57a5746c1b530.html" TargetMode="External"/><Relationship Id="rId14" Type="http://schemas.openxmlformats.org/officeDocument/2006/relationships/hyperlink" Target="https://www.spc.org.cn/online/755a7d432cc87cc2f3eae316b2aa9e96.html" TargetMode="External"/><Relationship Id="rId13" Type="http://schemas.openxmlformats.org/officeDocument/2006/relationships/hyperlink" Target="https://www.spc.org.cn/online/b83d9d7272e53dde9e162402d78f4280.html" TargetMode="External"/><Relationship Id="rId12" Type="http://schemas.openxmlformats.org/officeDocument/2006/relationships/hyperlink" Target="https://www.spc.org.cn/online/90c82639f0bedf67084c31db4d3b2da3.html" TargetMode="External"/><Relationship Id="rId11" Type="http://schemas.openxmlformats.org/officeDocument/2006/relationships/hyperlink" Target="https://www.spc.org.cn/online/ccfd3c4b30052ab3be432d1faf5706e1.html" TargetMode="External"/><Relationship Id="rId10" Type="http://schemas.openxmlformats.org/officeDocument/2006/relationships/hyperlink" Target="https://www.spc.org.cn/online/4df437c27a091712009aa7c75e862110.html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86B"/>
  </sheetPr>
  <dimension ref="A1:H33"/>
  <sheetViews>
    <sheetView showGridLines="0" workbookViewId="0">
      <pane xSplit="2" ySplit="6" topLeftCell="C7" activePane="bottomRight" state="frozen"/>
      <selection/>
      <selection pane="topRight"/>
      <selection pane="bottomLeft"/>
      <selection pane="bottomRight" activeCell="D7" sqref="D7"/>
    </sheetView>
  </sheetViews>
  <sheetFormatPr defaultColWidth="9" defaultRowHeight="16.8" outlineLevelCol="7"/>
  <cols>
    <col min="1" max="1" width="6" style="1" customWidth="1"/>
    <col min="2" max="2" width="24" style="1" customWidth="1"/>
    <col min="3" max="3" width="25" style="1" customWidth="1"/>
    <col min="4" max="4" width="32" style="1" customWidth="1"/>
    <col min="5" max="5" width="13" style="1" customWidth="1"/>
    <col min="6" max="6" width="17" style="1" customWidth="1"/>
    <col min="7" max="7" width="14" style="1" customWidth="1"/>
    <col min="8" max="8" width="78" style="1" customWidth="1"/>
  </cols>
  <sheetData>
    <row r="1" spans="1:8">
      <c r="A1" s="8"/>
      <c r="B1" s="8"/>
      <c r="C1" s="8"/>
      <c r="D1" s="8"/>
      <c r="E1" s="8"/>
      <c r="F1" s="8"/>
      <c r="G1" s="8"/>
      <c r="H1" s="8"/>
    </row>
    <row r="2" ht="29" customHeight="1" spans="1:8">
      <c r="A2" s="9" t="s">
        <v>0</v>
      </c>
      <c r="B2" s="8"/>
      <c r="C2" s="8"/>
      <c r="D2" s="8"/>
      <c r="E2" s="8"/>
      <c r="F2" s="8"/>
      <c r="G2" s="8"/>
      <c r="H2" s="8"/>
    </row>
    <row r="3" ht="23" customHeight="1" spans="1:8">
      <c r="A3" s="10" t="s">
        <v>1</v>
      </c>
      <c r="B3" s="10"/>
      <c r="C3" s="10"/>
      <c r="D3" s="10"/>
      <c r="E3" s="10"/>
      <c r="F3" s="10"/>
      <c r="G3" s="10"/>
      <c r="H3" s="10"/>
    </row>
    <row r="4" ht="23" customHeight="1" spans="1:8">
      <c r="A4" s="10" t="s">
        <v>2</v>
      </c>
      <c r="B4" s="10"/>
      <c r="C4" s="10"/>
      <c r="D4" s="10"/>
      <c r="E4" s="10"/>
      <c r="F4" s="10"/>
      <c r="G4" s="10"/>
      <c r="H4" s="10"/>
    </row>
    <row r="5" spans="1:8">
      <c r="A5" s="8"/>
      <c r="B5" s="8"/>
      <c r="C5" s="8"/>
      <c r="D5" s="8"/>
      <c r="E5" s="8"/>
      <c r="F5" s="8"/>
      <c r="G5" s="8"/>
      <c r="H5" s="8"/>
    </row>
    <row r="6" ht="29" customHeight="1" spans="1:8">
      <c r="A6" s="11" t="s">
        <v>3</v>
      </c>
      <c r="B6" s="11" t="s">
        <v>4</v>
      </c>
      <c r="C6" s="11" t="s">
        <v>5</v>
      </c>
      <c r="D6" s="12" t="s">
        <v>6</v>
      </c>
      <c r="E6" s="11" t="s">
        <v>7</v>
      </c>
      <c r="F6" s="11" t="s">
        <v>8</v>
      </c>
      <c r="G6" s="11" t="s">
        <v>9</v>
      </c>
      <c r="H6" s="11" t="s">
        <v>10</v>
      </c>
    </row>
    <row r="7" ht="32" customHeight="1" spans="1:8">
      <c r="A7" s="13">
        <v>1</v>
      </c>
      <c r="B7" s="8" t="s">
        <v>11</v>
      </c>
      <c r="C7" s="8" t="s">
        <v>12</v>
      </c>
      <c r="D7" s="14" t="s">
        <v>13</v>
      </c>
      <c r="E7" s="20">
        <v>43</v>
      </c>
      <c r="F7" s="20">
        <v>37</v>
      </c>
      <c r="G7" s="21" t="s">
        <v>14</v>
      </c>
      <c r="H7" s="8" t="s">
        <v>15</v>
      </c>
    </row>
    <row r="8" ht="32" customHeight="1" spans="1:8">
      <c r="A8" s="15">
        <v>2</v>
      </c>
      <c r="B8" s="16" t="s">
        <v>16</v>
      </c>
      <c r="C8" s="16" t="s">
        <v>17</v>
      </c>
      <c r="D8" s="17" t="s">
        <v>13</v>
      </c>
      <c r="E8" s="22">
        <v>75</v>
      </c>
      <c r="F8" s="22">
        <v>64</v>
      </c>
      <c r="G8" s="23" t="s">
        <v>14</v>
      </c>
      <c r="H8" s="16" t="s">
        <v>18</v>
      </c>
    </row>
    <row r="9" ht="32" customHeight="1" spans="1:8">
      <c r="A9" s="13">
        <v>3</v>
      </c>
      <c r="B9" s="8" t="s">
        <v>19</v>
      </c>
      <c r="C9" s="8" t="s">
        <v>20</v>
      </c>
      <c r="D9" s="14" t="s">
        <v>13</v>
      </c>
      <c r="E9" s="20">
        <v>150</v>
      </c>
      <c r="F9" s="20">
        <v>128</v>
      </c>
      <c r="G9" s="21" t="s">
        <v>14</v>
      </c>
      <c r="H9" s="8" t="s">
        <v>21</v>
      </c>
    </row>
    <row r="10" ht="32" customHeight="1" spans="1:8">
      <c r="A10" s="15">
        <v>4</v>
      </c>
      <c r="B10" s="16" t="s">
        <v>22</v>
      </c>
      <c r="C10" s="16" t="s">
        <v>23</v>
      </c>
      <c r="D10" s="17" t="s">
        <v>13</v>
      </c>
      <c r="E10" s="22">
        <v>62</v>
      </c>
      <c r="F10" s="22">
        <v>53</v>
      </c>
      <c r="G10" s="23" t="s">
        <v>14</v>
      </c>
      <c r="H10" s="16" t="s">
        <v>24</v>
      </c>
    </row>
    <row r="11" ht="32" customHeight="1" spans="1:8">
      <c r="A11" s="13">
        <v>5</v>
      </c>
      <c r="B11" s="8" t="s">
        <v>25</v>
      </c>
      <c r="C11" s="8" t="s">
        <v>26</v>
      </c>
      <c r="D11" s="14" t="s">
        <v>13</v>
      </c>
      <c r="E11" s="20">
        <v>50</v>
      </c>
      <c r="F11" s="20">
        <v>43</v>
      </c>
      <c r="G11" s="21" t="s">
        <v>14</v>
      </c>
      <c r="H11" s="8" t="s">
        <v>27</v>
      </c>
    </row>
    <row r="12" ht="32" customHeight="1" spans="1:8">
      <c r="A12" s="15">
        <v>6</v>
      </c>
      <c r="B12" s="16" t="s">
        <v>28</v>
      </c>
      <c r="C12" s="16" t="s">
        <v>29</v>
      </c>
      <c r="D12" s="17" t="s">
        <v>13</v>
      </c>
      <c r="E12" s="22">
        <v>44</v>
      </c>
      <c r="F12" s="22">
        <v>38</v>
      </c>
      <c r="G12" s="23" t="s">
        <v>14</v>
      </c>
      <c r="H12" s="16" t="s">
        <v>30</v>
      </c>
    </row>
    <row r="13" ht="32" customHeight="1" spans="1:8">
      <c r="A13" s="13">
        <v>7</v>
      </c>
      <c r="B13" s="8" t="s">
        <v>31</v>
      </c>
      <c r="C13" s="8" t="s">
        <v>32</v>
      </c>
      <c r="D13" s="14" t="s">
        <v>13</v>
      </c>
      <c r="E13" s="20">
        <v>56</v>
      </c>
      <c r="F13" s="20">
        <v>48</v>
      </c>
      <c r="G13" s="21" t="s">
        <v>14</v>
      </c>
      <c r="H13" s="8" t="s">
        <v>33</v>
      </c>
    </row>
    <row r="14" ht="32" customHeight="1" spans="1:8">
      <c r="A14" s="15">
        <v>8</v>
      </c>
      <c r="B14" s="16" t="s">
        <v>34</v>
      </c>
      <c r="C14" s="16" t="s">
        <v>35</v>
      </c>
      <c r="D14" s="17" t="s">
        <v>13</v>
      </c>
      <c r="E14" s="22">
        <v>28</v>
      </c>
      <c r="F14" s="22">
        <v>24</v>
      </c>
      <c r="G14" s="23" t="s">
        <v>14</v>
      </c>
      <c r="H14" s="16" t="s">
        <v>36</v>
      </c>
    </row>
    <row r="15" ht="32" customHeight="1" spans="1:8">
      <c r="A15" s="13">
        <v>9</v>
      </c>
      <c r="B15" s="8" t="s">
        <v>37</v>
      </c>
      <c r="C15" s="8" t="s">
        <v>38</v>
      </c>
      <c r="D15" s="14" t="s">
        <v>13</v>
      </c>
      <c r="E15" s="20">
        <v>33</v>
      </c>
      <c r="F15" s="20">
        <v>29</v>
      </c>
      <c r="G15" s="21" t="s">
        <v>14</v>
      </c>
      <c r="H15" s="8" t="s">
        <v>39</v>
      </c>
    </row>
    <row r="16" ht="32" customHeight="1" spans="1:8">
      <c r="A16" s="15">
        <v>10</v>
      </c>
      <c r="B16" s="16" t="s">
        <v>40</v>
      </c>
      <c r="C16" s="16" t="s">
        <v>41</v>
      </c>
      <c r="D16" s="17" t="s">
        <v>42</v>
      </c>
      <c r="E16" s="22">
        <v>44</v>
      </c>
      <c r="F16" s="22">
        <v>38</v>
      </c>
      <c r="G16" s="23" t="s">
        <v>14</v>
      </c>
      <c r="H16" s="16" t="s">
        <v>43</v>
      </c>
    </row>
    <row r="17" ht="32" customHeight="1" spans="1:8">
      <c r="A17" s="13">
        <v>11</v>
      </c>
      <c r="B17" s="8" t="s">
        <v>44</v>
      </c>
      <c r="C17" s="8" t="s">
        <v>45</v>
      </c>
      <c r="D17" s="8" t="s">
        <v>42</v>
      </c>
      <c r="E17" s="20">
        <v>33</v>
      </c>
      <c r="F17" s="20">
        <v>29</v>
      </c>
      <c r="G17" s="21" t="s">
        <v>14</v>
      </c>
      <c r="H17" s="8" t="s">
        <v>46</v>
      </c>
    </row>
    <row r="18" ht="32" customHeight="1" spans="1:8">
      <c r="A18" s="15">
        <v>12</v>
      </c>
      <c r="B18" s="16" t="s">
        <v>47</v>
      </c>
      <c r="C18" s="16" t="s">
        <v>48</v>
      </c>
      <c r="D18" s="16" t="s">
        <v>42</v>
      </c>
      <c r="E18" s="22">
        <v>33</v>
      </c>
      <c r="F18" s="22">
        <v>29</v>
      </c>
      <c r="G18" s="23" t="s">
        <v>14</v>
      </c>
      <c r="H18" s="16" t="s">
        <v>49</v>
      </c>
    </row>
    <row r="19" ht="32" customHeight="1" spans="1:8">
      <c r="A19" s="13">
        <v>13</v>
      </c>
      <c r="B19" s="8" t="s">
        <v>50</v>
      </c>
      <c r="C19" s="8" t="s">
        <v>51</v>
      </c>
      <c r="D19" s="8" t="s">
        <v>52</v>
      </c>
      <c r="E19" s="20">
        <v>33</v>
      </c>
      <c r="F19" s="20">
        <v>29</v>
      </c>
      <c r="G19" s="21" t="s">
        <v>14</v>
      </c>
      <c r="H19" s="8" t="s">
        <v>53</v>
      </c>
    </row>
    <row r="20" ht="32" customHeight="1" spans="1:8">
      <c r="A20" s="15">
        <v>14</v>
      </c>
      <c r="B20" s="16" t="s">
        <v>54</v>
      </c>
      <c r="C20" s="16" t="s">
        <v>55</v>
      </c>
      <c r="D20" s="17" t="s">
        <v>56</v>
      </c>
      <c r="E20" s="22">
        <v>44</v>
      </c>
      <c r="F20" s="22">
        <v>38</v>
      </c>
      <c r="G20" s="23" t="s">
        <v>14</v>
      </c>
      <c r="H20" s="16" t="s">
        <v>57</v>
      </c>
    </row>
    <row r="21" ht="32" customHeight="1" spans="1:8">
      <c r="A21" s="13">
        <v>15</v>
      </c>
      <c r="B21" s="8" t="s">
        <v>58</v>
      </c>
      <c r="C21" s="8" t="s">
        <v>59</v>
      </c>
      <c r="D21" s="8" t="s">
        <v>56</v>
      </c>
      <c r="E21" s="20">
        <v>44</v>
      </c>
      <c r="F21" s="20">
        <v>38</v>
      </c>
      <c r="G21" s="21" t="s">
        <v>14</v>
      </c>
      <c r="H21" s="8" t="s">
        <v>60</v>
      </c>
    </row>
    <row r="22" ht="32" customHeight="1" spans="1:8">
      <c r="A22" s="15">
        <v>16</v>
      </c>
      <c r="B22" s="16" t="s">
        <v>61</v>
      </c>
      <c r="C22" s="16" t="s">
        <v>62</v>
      </c>
      <c r="D22" s="16" t="s">
        <v>56</v>
      </c>
      <c r="E22" s="22">
        <v>36</v>
      </c>
      <c r="F22" s="22">
        <v>31</v>
      </c>
      <c r="G22" s="23" t="s">
        <v>14</v>
      </c>
      <c r="H22" s="16" t="s">
        <v>63</v>
      </c>
    </row>
    <row r="23" ht="32" customHeight="1" spans="1:8">
      <c r="A23" s="13">
        <v>17</v>
      </c>
      <c r="B23" s="8" t="s">
        <v>64</v>
      </c>
      <c r="C23" s="8" t="s">
        <v>65</v>
      </c>
      <c r="D23" s="8" t="s">
        <v>56</v>
      </c>
      <c r="E23" s="20">
        <v>43</v>
      </c>
      <c r="F23" s="20">
        <v>37</v>
      </c>
      <c r="G23" s="21" t="s">
        <v>14</v>
      </c>
      <c r="H23" s="8" t="s">
        <v>66</v>
      </c>
    </row>
    <row r="24" ht="32" customHeight="1" spans="1:8">
      <c r="A24" s="15">
        <v>18</v>
      </c>
      <c r="B24" s="16" t="s">
        <v>67</v>
      </c>
      <c r="C24" s="16" t="s">
        <v>68</v>
      </c>
      <c r="D24" s="16" t="s">
        <v>56</v>
      </c>
      <c r="E24" s="22">
        <v>28</v>
      </c>
      <c r="F24" s="22">
        <v>24</v>
      </c>
      <c r="G24" s="23" t="s">
        <v>14</v>
      </c>
      <c r="H24" s="16" t="s">
        <v>69</v>
      </c>
    </row>
    <row r="25" spans="1:8">
      <c r="A25" s="8"/>
      <c r="B25" s="8"/>
      <c r="C25" s="8"/>
      <c r="D25" s="8"/>
      <c r="E25" s="20"/>
      <c r="F25" s="20"/>
      <c r="G25" s="8"/>
      <c r="H25" s="8"/>
    </row>
    <row r="26" spans="1:8">
      <c r="A26" s="8"/>
      <c r="B26" s="18" t="s">
        <v>70</v>
      </c>
      <c r="C26" s="18"/>
      <c r="D26" s="18"/>
      <c r="E26" s="24">
        <f>SUM(E7:E18)</f>
        <v>651</v>
      </c>
      <c r="F26" s="24">
        <f>SUM(F7:F18)</f>
        <v>560</v>
      </c>
      <c r="G26" s="8" t="s">
        <v>71</v>
      </c>
      <c r="H26" s="8"/>
    </row>
    <row r="27" spans="1:8">
      <c r="A27" s="8"/>
      <c r="B27" s="19" t="s">
        <v>72</v>
      </c>
      <c r="C27" s="19"/>
      <c r="D27" s="19"/>
      <c r="E27" s="25">
        <f>SUM(E20:E24)</f>
        <v>195</v>
      </c>
      <c r="F27" s="25">
        <f>SUM(F20:F24)</f>
        <v>168</v>
      </c>
      <c r="G27" s="8" t="s">
        <v>73</v>
      </c>
      <c r="H27" s="8"/>
    </row>
    <row r="28" spans="1:8">
      <c r="A28" s="8"/>
      <c r="B28" s="19" t="s">
        <v>74</v>
      </c>
      <c r="C28" s="19"/>
      <c r="D28" s="19"/>
      <c r="E28" s="25">
        <f>SUM(E7:E24)</f>
        <v>879</v>
      </c>
      <c r="F28" s="25">
        <f>SUM(F7:F24)</f>
        <v>757</v>
      </c>
      <c r="G28" s="8"/>
      <c r="H28" s="8"/>
    </row>
    <row r="29" spans="1:8">
      <c r="A29" s="8"/>
      <c r="B29" s="8"/>
      <c r="C29" s="8"/>
      <c r="D29" s="8"/>
      <c r="E29" s="20"/>
      <c r="F29" s="20"/>
      <c r="G29" s="8"/>
      <c r="H29" s="8"/>
    </row>
    <row r="30" spans="1:8">
      <c r="A30" s="8"/>
      <c r="B30" s="8" t="s">
        <v>75</v>
      </c>
      <c r="C30" s="8"/>
      <c r="D30" s="8"/>
      <c r="E30" s="20" t="e">
        <f>COUNTIFS(#REF!,"已下载待验质")+COUNTIFS(#REF!,"已验质可替换")</f>
        <v>#REF!</v>
      </c>
      <c r="F30" s="20"/>
      <c r="G30" s="8"/>
      <c r="H30" s="8"/>
    </row>
    <row r="31" spans="1:8">
      <c r="A31" s="8"/>
      <c r="B31" s="8" t="s">
        <v>76</v>
      </c>
      <c r="C31" s="8"/>
      <c r="D31" s="8"/>
      <c r="E31" s="20" t="e">
        <f>COUNTIFS(#REF!,"已验质可替换")</f>
        <v>#REF!</v>
      </c>
      <c r="F31" s="20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</sheetData>
  <hyperlinks>
    <hyperlink ref="G7" r:id="rId2" display="打开官网"/>
    <hyperlink ref="G8" r:id="rId3" display="打开官网"/>
    <hyperlink ref="G9" r:id="rId4" display="打开官网"/>
    <hyperlink ref="G10" r:id="rId5" display="打开官网"/>
    <hyperlink ref="G11" r:id="rId6" display="打开官网"/>
    <hyperlink ref="G12" r:id="rId7" display="打开官网"/>
    <hyperlink ref="G13" r:id="rId8" display="打开官网"/>
    <hyperlink ref="G14" r:id="rId9" display="打开官网"/>
    <hyperlink ref="G15" r:id="rId10" display="打开官网"/>
    <hyperlink ref="G16" r:id="rId11" display="打开官网"/>
    <hyperlink ref="G17" r:id="rId12" display="打开官网"/>
    <hyperlink ref="G18" r:id="rId13" display="打开官网"/>
    <hyperlink ref="G19" r:id="rId14" display="打开官网"/>
    <hyperlink ref="G20" r:id="rId15" display="打开官网"/>
    <hyperlink ref="G21" r:id="rId16" display="打开官网"/>
    <hyperlink ref="G22" r:id="rId17" display="打开官网"/>
    <hyperlink ref="G23" r:id="rId18" display="打开官网"/>
    <hyperlink ref="G24" r:id="rId19" display="打开官网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1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6.8"/>
  <cols>
    <col min="1" max="1" width="6" style="1" customWidth="1"/>
    <col min="2" max="2" width="40" style="1" customWidth="1"/>
    <col min="3" max="3" width="24" style="1" customWidth="1"/>
    <col min="4" max="5" width="18" style="1" customWidth="1"/>
    <col min="6" max="6" width="20" style="1" customWidth="1"/>
    <col min="7" max="7" width="14" style="1" customWidth="1"/>
    <col min="8" max="8" width="20" style="1" customWidth="1"/>
    <col min="9" max="9" width="76" style="1" customWidth="1"/>
  </cols>
  <sheetData>
    <row r="2" ht="20.4" spans="1:1">
      <c r="A2" s="2" t="s">
        <v>77</v>
      </c>
    </row>
    <row r="3" spans="1:1">
      <c r="A3" s="3" t="s">
        <v>78</v>
      </c>
    </row>
    <row r="4" spans="1:1">
      <c r="A4" s="3" t="s">
        <v>79</v>
      </c>
    </row>
    <row r="6" ht="22" customHeight="1" spans="1:9">
      <c r="A6" s="4" t="s">
        <v>3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</row>
    <row r="7" ht="68" spans="1:9">
      <c r="A7" s="5">
        <v>1</v>
      </c>
      <c r="B7" s="6" t="s">
        <v>88</v>
      </c>
      <c r="C7" s="6" t="s">
        <v>89</v>
      </c>
      <c r="D7" s="6" t="s">
        <v>90</v>
      </c>
      <c r="E7" s="5" t="s">
        <v>91</v>
      </c>
      <c r="F7" s="5" t="s">
        <v>92</v>
      </c>
      <c r="G7" s="5">
        <v>49</v>
      </c>
      <c r="H7" s="5" t="s">
        <v>93</v>
      </c>
      <c r="I7" s="6" t="s">
        <v>94</v>
      </c>
    </row>
    <row r="8" ht="17" spans="1:9">
      <c r="A8" s="5">
        <v>2</v>
      </c>
      <c r="B8" s="6" t="s">
        <v>95</v>
      </c>
      <c r="C8" s="6" t="s">
        <v>96</v>
      </c>
      <c r="D8" s="6" t="s">
        <v>97</v>
      </c>
      <c r="E8" s="5" t="s">
        <v>98</v>
      </c>
      <c r="F8" s="5" t="s">
        <v>99</v>
      </c>
      <c r="G8" s="5" t="s">
        <v>100</v>
      </c>
      <c r="H8" s="5" t="s">
        <v>101</v>
      </c>
      <c r="I8" s="6" t="s">
        <v>102</v>
      </c>
    </row>
    <row r="9" ht="34" spans="1:9">
      <c r="A9" s="5">
        <v>3</v>
      </c>
      <c r="B9" s="6" t="s">
        <v>103</v>
      </c>
      <c r="C9" s="6" t="s">
        <v>104</v>
      </c>
      <c r="D9" s="6" t="s">
        <v>105</v>
      </c>
      <c r="E9" s="5" t="s">
        <v>106</v>
      </c>
      <c r="F9" s="5" t="s">
        <v>107</v>
      </c>
      <c r="G9" s="5">
        <v>59</v>
      </c>
      <c r="H9" s="5" t="s">
        <v>108</v>
      </c>
      <c r="I9" s="6" t="s">
        <v>109</v>
      </c>
    </row>
    <row r="10" ht="34" spans="1:9">
      <c r="A10" s="5">
        <v>4</v>
      </c>
      <c r="B10" s="6" t="s">
        <v>110</v>
      </c>
      <c r="C10" s="6" t="s">
        <v>111</v>
      </c>
      <c r="D10" s="6" t="s">
        <v>112</v>
      </c>
      <c r="E10" s="5" t="s">
        <v>113</v>
      </c>
      <c r="F10" s="5" t="s">
        <v>114</v>
      </c>
      <c r="G10" s="5">
        <v>68</v>
      </c>
      <c r="H10" s="5" t="s">
        <v>115</v>
      </c>
      <c r="I10" s="6" t="s">
        <v>116</v>
      </c>
    </row>
    <row r="11" ht="34" spans="1:9">
      <c r="A11" s="5">
        <v>5</v>
      </c>
      <c r="B11" s="6" t="s">
        <v>117</v>
      </c>
      <c r="C11" s="6" t="s">
        <v>118</v>
      </c>
      <c r="D11" s="6" t="s">
        <v>119</v>
      </c>
      <c r="E11" s="5" t="s">
        <v>120</v>
      </c>
      <c r="F11" s="5" t="s">
        <v>121</v>
      </c>
      <c r="G11" s="5">
        <v>49</v>
      </c>
      <c r="H11" s="5" t="s">
        <v>122</v>
      </c>
      <c r="I11" s="6" t="s">
        <v>123</v>
      </c>
    </row>
    <row r="12" ht="17" spans="1:9">
      <c r="A12" s="5">
        <v>6</v>
      </c>
      <c r="B12" s="6" t="s">
        <v>124</v>
      </c>
      <c r="C12" s="6" t="s">
        <v>100</v>
      </c>
      <c r="D12" s="6" t="s">
        <v>100</v>
      </c>
      <c r="E12" s="5" t="s">
        <v>100</v>
      </c>
      <c r="F12" s="5" t="s">
        <v>100</v>
      </c>
      <c r="G12" s="5" t="s">
        <v>100</v>
      </c>
      <c r="H12" s="5" t="s">
        <v>122</v>
      </c>
      <c r="I12" s="6" t="s">
        <v>125</v>
      </c>
    </row>
    <row r="13" ht="17" spans="1:9">
      <c r="A13" s="5">
        <v>7</v>
      </c>
      <c r="B13" s="6" t="s">
        <v>126</v>
      </c>
      <c r="C13" s="6" t="s">
        <v>100</v>
      </c>
      <c r="D13" s="6" t="s">
        <v>100</v>
      </c>
      <c r="E13" s="5" t="s">
        <v>100</v>
      </c>
      <c r="F13" s="5" t="s">
        <v>100</v>
      </c>
      <c r="G13" s="5" t="s">
        <v>100</v>
      </c>
      <c r="H13" s="5" t="s">
        <v>122</v>
      </c>
      <c r="I13" s="6" t="s">
        <v>125</v>
      </c>
    </row>
    <row r="14" ht="34" spans="1:9">
      <c r="A14" s="5">
        <v>8</v>
      </c>
      <c r="B14" s="6" t="s">
        <v>127</v>
      </c>
      <c r="C14" s="6" t="s">
        <v>128</v>
      </c>
      <c r="D14" s="6" t="s">
        <v>100</v>
      </c>
      <c r="E14" s="5" t="s">
        <v>100</v>
      </c>
      <c r="F14" s="5" t="s">
        <v>100</v>
      </c>
      <c r="G14" s="5" t="s">
        <v>129</v>
      </c>
      <c r="H14" s="5" t="s">
        <v>130</v>
      </c>
      <c r="I14" s="6" t="s">
        <v>131</v>
      </c>
    </row>
    <row r="16" ht="17.6" spans="1:1">
      <c r="A16" s="7" t="s">
        <v>132</v>
      </c>
    </row>
    <row r="17" ht="17" spans="1:4">
      <c r="A17" s="4" t="s">
        <v>133</v>
      </c>
      <c r="B17" s="4" t="s">
        <v>134</v>
      </c>
      <c r="C17" s="4" t="s">
        <v>135</v>
      </c>
      <c r="D17" s="4" t="s">
        <v>136</v>
      </c>
    </row>
    <row r="18" ht="34" spans="1:4">
      <c r="A18" s="5">
        <v>1</v>
      </c>
      <c r="B18" s="6" t="s">
        <v>137</v>
      </c>
      <c r="C18" s="5" t="s">
        <v>138</v>
      </c>
      <c r="D18" s="6" t="s">
        <v>139</v>
      </c>
    </row>
    <row r="19" ht="34" spans="1:4">
      <c r="A19" s="5">
        <v>2</v>
      </c>
      <c r="B19" s="6" t="s">
        <v>140</v>
      </c>
      <c r="C19" s="5" t="s">
        <v>141</v>
      </c>
      <c r="D19" s="6" t="s">
        <v>142</v>
      </c>
    </row>
    <row r="20" ht="17" spans="1:4">
      <c r="A20" s="5">
        <v>3</v>
      </c>
      <c r="B20" s="6" t="s">
        <v>117</v>
      </c>
      <c r="C20" s="5" t="s">
        <v>138</v>
      </c>
      <c r="D20" s="6" t="s">
        <v>143</v>
      </c>
    </row>
    <row r="21" ht="17" spans="1:4">
      <c r="A21" s="5">
        <v>4</v>
      </c>
      <c r="B21" s="6" t="s">
        <v>144</v>
      </c>
      <c r="C21" s="5" t="s">
        <v>145</v>
      </c>
      <c r="D21" s="6" t="s">
        <v>146</v>
      </c>
    </row>
    <row r="22" ht="51" spans="1:4">
      <c r="A22" s="5">
        <v>5</v>
      </c>
      <c r="B22" s="6" t="s">
        <v>127</v>
      </c>
      <c r="C22" s="5" t="s">
        <v>147</v>
      </c>
      <c r="D22" s="6" t="s">
        <v>148</v>
      </c>
    </row>
    <row r="23" spans="1:1">
      <c r="A23" s="3" t="s">
        <v>149</v>
      </c>
    </row>
    <row r="25" ht="17.6" spans="1:1">
      <c r="A25" s="7" t="s">
        <v>150</v>
      </c>
    </row>
    <row r="26" ht="17" spans="1:5">
      <c r="A26" s="4" t="s">
        <v>151</v>
      </c>
      <c r="B26" s="4" t="s">
        <v>152</v>
      </c>
      <c r="C26" s="4" t="s">
        <v>153</v>
      </c>
      <c r="D26" s="4" t="s">
        <v>154</v>
      </c>
      <c r="E26" s="4" t="s">
        <v>155</v>
      </c>
    </row>
    <row r="27" ht="84" spans="1:5">
      <c r="A27" s="6" t="s">
        <v>156</v>
      </c>
      <c r="B27" s="6" t="s">
        <v>157</v>
      </c>
      <c r="C27" s="6" t="s">
        <v>158</v>
      </c>
      <c r="D27" s="6" t="s">
        <v>159</v>
      </c>
      <c r="E27" s="5" t="s">
        <v>160</v>
      </c>
    </row>
    <row r="28" ht="84" spans="1:5">
      <c r="A28" s="6" t="s">
        <v>156</v>
      </c>
      <c r="B28" s="6" t="s">
        <v>161</v>
      </c>
      <c r="C28" s="6" t="s">
        <v>162</v>
      </c>
      <c r="D28" s="6" t="s">
        <v>163</v>
      </c>
      <c r="E28" s="5" t="s">
        <v>160</v>
      </c>
    </row>
    <row r="29" spans="1:1">
      <c r="A29" s="3" t="s">
        <v>164</v>
      </c>
    </row>
    <row r="31" spans="1:1">
      <c r="A31" s="3" t="s">
        <v>165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411764705882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国标下载清单</vt:lpstr>
      <vt:lpstr>采购清单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杜大同(菜鸟-地网运输技术部 剑笑)</cp:lastModifiedBy>
  <dcterms:created xsi:type="dcterms:W3CDTF">2026-10-10T06:16:00Z</dcterms:created>
  <dcterms:modified xsi:type="dcterms:W3CDTF">2026-10-15T15:36:55Z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5C904330DFAAFD477489C86AC641BECE_42</vt:lpwstr>
  </property>
  <property fmtid="{D5CDD505-2E9C-101B-9397-08002B2CF9AE}" pid="3" name="KSOProductBuildVer">
    <vt:lpwstr>2052-12.1.21938.21938</vt:lpwstr>
  </property>
</Properties>
</file>