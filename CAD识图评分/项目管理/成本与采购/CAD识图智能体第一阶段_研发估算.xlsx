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10860" tabRatio="755" activeTab="2"/>
  </bookViews>
  <sheets>
    <sheet name="研发过程节点" sheetId="6" r:id="rId1"/>
    <sheet name="第一阶段内容" sheetId="7" r:id="rId2"/>
    <sheet name="单价依据与范围" sheetId="5" r:id="rId3"/>
    <sheet name="API参数" sheetId="4" r:id="rId4"/>
    <sheet name="API测算" sheetId="3" r:id="rId5"/>
    <sheet name="费用总表" sheetId="1" r:id="rId6"/>
    <sheet name="成本预算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<sst xmlns="http://schemas.openxmlformats.org/spreadsheetml/2006/main" count="591" uniqueCount="460">
  <si>
    <t>阶段</t>
  </si>
  <si>
    <t>主要工作</t>
  </si>
  <si>
    <t>需要提供</t>
  </si>
  <si>
    <t>阶段输出/通过条件</t>
  </si>
  <si>
    <t>备注</t>
  </si>
  <si>
    <t>1. 资料准备</t>
  </si>
  <si>
    <t>收集、分类、脱敏和整理项目资料</t>
  </si>
  <si>
    <t>国标及行业标准文档、专家经验文档资料、典型CAD图、已知问题及正确答案</t>
  </si>
  <si>
    <t>资料清单、规则清单、样本图纸集、标注口径</t>
  </si>
  <si>
    <t xml:space="preserve">典型CAD图 不需要准备太齐 有个 几十张即可 用于验证实验；
国标及行业标准文档、专家经验文档资料 这些要尽可能全面，可以不断的补齐；
</t>
  </si>
  <si>
    <t>2. 能力验证</t>
  </si>
  <si>
    <t>申请OCR视觉大模型，推理大模型模型接入 用真实图纸测试识别和判断能力</t>
  </si>
  <si>
    <t>10～20张有代表性的图纸，并由专家确认正确答案 ，提供图纸复杂程度：低/中/高各3至5张，每个图纸给出标准图 和 已知错图，来验证能力</t>
  </si>
  <si>
    <t>验证报告：识别准确度 百分比；哪些能识别、哪些不能识别、漏检误报情况、单图成本和处理时间</t>
  </si>
  <si>
    <t>能力验证至少要回答以下问题：
 • PDF中的文字、尺寸、公差和符号能否可靠提取。
 • OCR结果能否与图纸位置、尺寸线和几何对象对应。
 • 国标条款和专家规则能否转成可执行检查规则。
 • 模型能否指出问题位置，并提供正确依据。
 • 漏检率、误报率和人工复核时间是否可以接受。
 • 单张图纸的API费用和处理时间是否可控。
 • DWG/DXF是否只作为辅助输入，还是必须实现结构化解析</t>
  </si>
  <si>
    <t>3. 产品原型</t>
  </si>
  <si>
    <t>把已验证能力串成最小闭环</t>
  </si>
  <si>
    <t>双方参与确认结果展示方式</t>
  </si>
  <si>
    <t>上传图纸→识别→规则检查→问题定位→输出依据和建议的可操作原型</t>
  </si>
  <si>
    <t>4. 产品设计与研发</t>
  </si>
  <si>
    <t>完成正式功能、数据结构、规则管理和稳定性建设、基础设施、基础服务搭建</t>
  </si>
  <si>
    <t>持续确认规则、界面和业务流程</t>
  </si>
  <si>
    <t>第一阶段可用产品，包括PDF处理、OCR、规则引擎、模型审校、报告和管理界面</t>
  </si>
  <si>
    <t>5. 演示与交付</t>
  </si>
  <si>
    <t>部署演示环境、准备演示案例、修复演示问题并培训</t>
  </si>
  <si>
    <t>确认演示图纸和验收场景</t>
  </si>
  <si>
    <t>可部署版本、操作文档、测试报告、演示及培训</t>
  </si>
  <si>
    <t>6. 试用阶段</t>
  </si>
  <si>
    <t>试用阶段License许可，使用真实图纸运行，记录问题并进行有限优化</t>
  </si>
  <si>
    <t>真实试用图纸、专家反馈和问题确认</t>
  </si>
  <si>
    <t>试用报告、问题清单、第一阶段验收结论及后续优化范围</t>
  </si>
  <si>
    <t>一、阶段目标</t>
  </si>
  <si>
    <t>第一阶段建设一个可实际试用的CAD图纸规范检查产品。</t>
  </si>
  <si>
    <t>系统接收客户图纸后，依据国标、行业规范和专家经验，自动发现可能不规范的内容，并输出：</t>
  </si>
  <si>
    <t>问题所在页和图纸位置。</t>
  </si>
  <si>
    <t>涉及的尺寸、符号、文字或图形对象。</t>
  </si>
  <si>
    <t>问题类型和严重程度。</t>
  </si>
  <si>
    <t>对应的国标条款或专家规则。</t>
  </si>
  <si>
    <t>判断依据和修改建议。</t>
  </si>
  <si>
    <t>无法确定时明确标记“需要专家复核”。</t>
  </si>
  <si>
    <t>输入以PDF图纸为主，DWG/DXF作为补充输入。</t>
  </si>
  <si>
    <t>第一阶段不包含学生图纸评分。第二阶段将在第一阶段的识别、规则检查和证据定位能力上继续建设评分功能。</t>
  </si>
  <si>
    <t>二、实施流程</t>
  </si>
  <si>
    <t>资料准备</t>
  </si>
  <si>
    <t>→ 能力验证</t>
  </si>
  <si>
    <t>→ 产品原型</t>
  </si>
  <si>
    <t>→ 产品设计与研发</t>
  </si>
  <si>
    <t>→ 演示交付</t>
  </si>
  <si>
    <t>→ 客户试用与验收</t>
  </si>
  <si>
    <t>第一阶段产出物</t>
  </si>
  <si>
    <t>第一阶段产品及部署包。</t>
  </si>
  <si>
    <t>PDF图纸识别和规范检查功能。</t>
  </si>
  <si>
    <t>DWG/DXF辅助接入能力。</t>
  </si>
  <si>
    <t>国标及专家规则知识库。</t>
  </si>
  <si>
    <t>识图服务能力</t>
  </si>
  <si>
    <t>网关等基础设施</t>
  </si>
  <si>
    <t>问题定位、依据和建议展示。</t>
  </si>
  <si>
    <t>结构化检查结果及报告。</t>
  </si>
  <si>
    <t>客户、用户和License管理功能。</t>
  </si>
  <si>
    <t>API用量、图纸额度及操作记录。</t>
  </si>
  <si>
    <t>能力验证报告。</t>
  </si>
  <si>
    <t>POC测试报告。</t>
  </si>
  <si>
    <t>部署及操作说明。</t>
  </si>
  <si>
    <t>已知限制和待优化问题清单。</t>
  </si>
  <si>
    <t>客户试用及验收记录。</t>
  </si>
  <si>
    <t>阶段边界</t>
  </si>
  <si>
    <t>第一阶段不包含：</t>
  </si>
  <si>
    <t>学生图纸自动评分。</t>
  </si>
  <si>
    <t>标准答案图纸比对评分。</t>
  </si>
  <si>
    <t>本地大模型训练。</t>
  </si>
  <si>
    <t>GPU服务器采购。</t>
  </si>
  <si>
    <t>无限制图纸类型支持。</t>
  </si>
  <si>
    <t>无期限免费试用和维护。</t>
  </si>
  <si>
    <t>单价解释与第一阶段交付范围</t>
  </si>
  <si>
    <t>将“市场公开费率”“文档预算值”“新增规划假设”分开说明，避免将假设当作报价。</t>
  </si>
  <si>
    <t>成本项目</t>
  </si>
  <si>
    <t>依据类型</t>
  </si>
  <si>
    <t>为什么采用这个单价 / 如何计算</t>
  </si>
  <si>
    <t>需要确认的事项</t>
  </si>
  <si>
    <t>工程师月成本</t>
  </si>
  <si>
    <t>内部预算值</t>
  </si>
  <si>
    <t>25,000元/人月，按20个工作日折合1,250元/人日；4个月约80人日。</t>
  </si>
  <si>
    <t>Mistral OCR 4</t>
  </si>
  <si>
    <t>官方费率＋用量假设</t>
  </si>
  <si>
    <t>开发与演示预计1,100页次，实际约31.68元；预算按100元取整。</t>
  </si>
  <si>
    <t>OCR页数、页面比例和重试率需样本实测。</t>
  </si>
  <si>
    <t>GPT-5.6 Sol</t>
  </si>
  <si>
    <t>图像、文字输入和计费输出约11,107.70元；预算按11,200元计。</t>
  </si>
  <si>
    <t>50K文字输入、4K计费输出及8轮回归需实测校准。</t>
  </si>
  <si>
    <t>GPT-6 Astra</t>
  </si>
  <si>
    <t>审校调用约20,641.26元；分配20,600元，使模型API预算合计31,900元。</t>
  </si>
  <si>
    <t>30K文字输入、4K计费输出及100%审校覆盖率需实测。</t>
  </si>
  <si>
    <t>技术尽调验证</t>
  </si>
  <si>
    <t>包含费用</t>
  </si>
  <si>
    <t>签前选10张客户真实图纸验证OCR、视觉分析、规则和审校链路；工程工时已含人力。</t>
  </si>
  <si>
    <t>客户需提供可代表真实难度的图纸及预期问题。</t>
  </si>
  <si>
    <t>国内ECS实例</t>
  </si>
  <si>
    <t>公开价格参考＋预算预留</t>
  </si>
  <si>
    <t>4核16G计算资源约400元/月，系统盘约50元/月，合计450元/月×12。</t>
  </si>
  <si>
    <t>云厂商、地域、磁盘性能及优惠以采购订单为准。</t>
  </si>
  <si>
    <t>国内公网带宽</t>
  </si>
  <si>
    <t>预算预留</t>
  </si>
  <si>
    <t>按150元/月×12个月预算，用于客户远程访问演示系统。</t>
  </si>
  <si>
    <t>带宽大小和计费方式需根据并发与地域询价。</t>
  </si>
  <si>
    <t>对象存储OSS</t>
  </si>
  <si>
    <t>原图、切片和结果JSON存储及少量外网流量，合计500元/年。</t>
  </si>
  <si>
    <t>容量、留存周期、请求次数和外网流量尚未实测。</t>
  </si>
  <si>
    <t>域名＋HTTPS证书</t>
  </si>
  <si>
    <t>域名和HTTPS证书合计300元/年。</t>
  </si>
  <si>
    <t>可使用免费证书；域名后缀和续费价格待确认。</t>
  </si>
  <si>
    <t>云监控／日志／CI</t>
  </si>
  <si>
    <t>告警、日志及持续集成流水线合计1,200元/年。</t>
  </si>
  <si>
    <t>日志量、留存时间和流水线分钟数待确认。</t>
  </si>
  <si>
    <t>海外网关节点</t>
  </si>
  <si>
    <t>文档预算值</t>
  </si>
  <si>
    <t>稳定接入节点及流量1,500元/月×12个月；不重复计模型消费。</t>
  </si>
  <si>
    <t>真实接入方案、合规边界、流量和服务保障需确认。</t>
  </si>
  <si>
    <t>国标文本资料</t>
  </si>
  <si>
    <t>客户提供</t>
  </si>
  <si>
    <t>客户提供所需国标文本，研发费用0元；30份为资料数量占位。</t>
  </si>
  <si>
    <t>资料版本、范围及可用性由双方确认；工程转录实现仍包含在人力成本中。</t>
  </si>
  <si>
    <t>标准条款结构化</t>
  </si>
  <si>
    <t>客户专家支持＋包含费用</t>
  </si>
  <si>
    <t>客户机械顾问确定条款范围；研发结构化和工程实现已含研发人力。</t>
  </si>
  <si>
    <t>先冻结标准清单、条款范围和适用条件。</t>
  </si>
  <si>
    <t>专家规则转写</t>
  </si>
  <si>
    <t>客户专家提供并审核规则；研发转录开发已含研发人力。</t>
  </si>
  <si>
    <t>规则冲突、适用场景和争议结论由客户专家确认。</t>
  </si>
  <si>
    <t>向量库／图谱工具</t>
  </si>
  <si>
    <t>开源部署</t>
  </si>
  <si>
    <t>采用开源组件部署，软件授权单价0元。</t>
  </si>
  <si>
    <t>如改用商业产品或托管服务需重新报价。</t>
  </si>
  <si>
    <t>图纸收集</t>
  </si>
  <si>
    <t>客户负责收集、清理并提供轴类、箱体、钣金等典型图纸；研发费用0元。研发人员的数据接收和导入工作已含研发人力。</t>
  </si>
  <si>
    <t>客户确认图纸类型、数量、格式、脱敏要求及使用权限。</t>
  </si>
  <si>
    <t>开发期人工标注</t>
  </si>
  <si>
    <t>客户承担的专家支持费用</t>
  </si>
  <si>
    <t>客户专家完成开发集问题判断、位置、依据和复核；研发费用0元。研发人员负责数据导入和联调，已含研发人力。</t>
  </si>
  <si>
    <t>客户确认专家安排、标注口径和交付时间。</t>
  </si>
  <si>
    <t>演示期补充标注</t>
  </si>
  <si>
    <t>客户专家完成演示样本补充标注与复核；研发费用0元。</t>
  </si>
  <si>
    <t>避免与开发集重复；客户确认演示样本范围。</t>
  </si>
  <si>
    <t>独立测试集标注</t>
  </si>
  <si>
    <t>客户专家独立完成留出测试集标注与复核；研发费用0元。</t>
  </si>
  <si>
    <t>与开发集、演示集保持隔离；客户确认验收结论。</t>
  </si>
  <si>
    <t>评估脚本／POC报告</t>
  </si>
  <si>
    <t>评估脚本、指标统计和报告编写已含工程师人力，本行0元。</t>
  </si>
  <si>
    <t>验收指标与计算口径需在测试前冻结。</t>
  </si>
  <si>
    <t>风险预备费</t>
  </si>
  <si>
    <t>规划比例</t>
  </si>
  <si>
    <t>研发直接费用×5%；用于额外工作和费用不确定性。</t>
  </si>
  <si>
    <t>不是实测风险概率；范围扩大时重新估算。</t>
  </si>
  <si>
    <t>CAD授权增项</t>
  </si>
  <si>
    <t>采购预留</t>
  </si>
  <si>
    <t>1项×5,000元，只有资金占位，未计入主预算。</t>
  </si>
  <si>
    <t>实际工具及商用授权确认后替换。</t>
  </si>
  <si>
    <t>处理环节</t>
  </si>
  <si>
    <t>实现方式</t>
  </si>
  <si>
    <t>输出内容</t>
  </si>
  <si>
    <t>技术边界</t>
  </si>
  <si>
    <t>图纸接入</t>
  </si>
  <si>
    <t>本地PDF解析/渲染</t>
  </si>
  <si>
    <t>整页图、局部图、坐标映射，DWG/DXF辅助接入</t>
  </si>
  <si>
    <t>不重复传同一PDF文件计视觉费。</t>
  </si>
  <si>
    <t>OCR</t>
  </si>
  <si>
    <t>Mistral OCR 4.0</t>
  </si>
  <si>
    <t>文字、结构与定位信息，结果应用缓存复用</t>
  </si>
  <si>
    <t>OCR文本不等于尺寸与几何对象关联。</t>
  </si>
  <si>
    <t>视觉分析</t>
  </si>
  <si>
    <t>结合图像和文字生成实体关系与候选问题</t>
  </si>
  <si>
    <t>细小符号、跨视图及复杂几何需验证。</t>
  </si>
  <si>
    <t>规则检查</t>
  </si>
  <si>
    <t>确定性规则引擎</t>
  </si>
  <si>
    <t>检查适用条件、条款、专家规则和证据</t>
  </si>
  <si>
    <t>经验建议与国标违规分开。</t>
  </si>
  <si>
    <t>证据审校</t>
  </si>
  <si>
    <t>同时查看图像证据和候选问题，输出结构化报告</t>
  </si>
  <si>
    <t>不是独立机械专家；仍需人工复核不确定项。</t>
  </si>
  <si>
    <t>验收</t>
  </si>
  <si>
    <t>专家标注＋留出测试</t>
  </si>
  <si>
    <t>误报、漏检、定位、依据准确性和人工复核时间</t>
  </si>
  <si>
    <t>20张独立测试集适合POC，不代表通用可靠性证明。</t>
  </si>
  <si>
    <t>模型适用性</t>
  </si>
  <si>
    <t>GPT-6 Astra支持图像、结构化输出与工具调用，可承担审校；实际效果待测试。</t>
  </si>
  <si>
    <t>不含学生评分、本地模型训练、GPU采购与对外多租户模型服务。</t>
  </si>
  <si>
    <t>API价格</t>
  </si>
  <si>
    <t>标准API按量计费；ChatGPT订阅不计作此项目API额度。</t>
  </si>
  <si>
    <t>参考资料</t>
  </si>
  <si>
    <t>https://developers.openai.com/api/docs/models/gpt-6-astra</t>
  </si>
  <si>
    <t>服务器价格参考</t>
  </si>
  <si>
    <t>https://buy.cloud.tencent.com/pricing/cvm/calculator?devPayMode=monthly&amp;imageType=linux</t>
  </si>
  <si>
    <t>服务器预算口径</t>
  </si>
  <si>
    <t>2026-09-17公开价格检索参考；计算、系统盘和公网带宽为预算拆分，非锁定报价。</t>
  </si>
  <si>
    <t>API 价格与工作量参数</t>
  </si>
  <si>
    <t>核验日期：2026-09-17；标准同步API，无缓存折扣；黄色蓝字可修改。</t>
  </si>
  <si>
    <t>参数</t>
  </si>
  <si>
    <t>数值</t>
  </si>
  <si>
    <t>单位</t>
  </si>
  <si>
    <t>用途及计费口径</t>
  </si>
  <si>
    <t>来源 / 假设</t>
  </si>
  <si>
    <t>预算汇率</t>
  </si>
  <si>
    <t>人民币/美元</t>
  </si>
  <si>
    <t>仅为预算汇率，可按实际结算调整。</t>
  </si>
  <si>
    <t>预算假设</t>
  </si>
  <si>
    <t>美元/千页</t>
  </si>
  <si>
    <t>普通OCR端点，不使用收费自定义文档注释。</t>
  </si>
  <si>
    <t>https://docs.mistral.ai/models/ocr-4-0</t>
  </si>
  <si>
    <t>GPT-5.6 Sol 输入</t>
  </si>
  <si>
    <t>美元/百万token</t>
  </si>
  <si>
    <t>图像和文字输入均按输入单价计费。</t>
  </si>
  <si>
    <t>https://developers.openai.com/api/docs/pricing</t>
  </si>
  <si>
    <t>GPT-5.6 Sol 输出</t>
  </si>
  <si>
    <t>输出包括计费思考token。</t>
  </si>
  <si>
    <t>GPT-6 Astra 输入</t>
  </si>
  <si>
    <t>用于最终审校；文字和图像输入采用同一输入单价。</t>
  </si>
  <si>
    <t>GPT-6 Astra 输出</t>
  </si>
  <si>
    <t>长上下文阈值</t>
  </si>
  <si>
    <t>输入token/请求</t>
  </si>
  <si>
    <t>每请求文字＋图像输入合计超过此值，提高整次请求费率。</t>
  </si>
  <si>
    <t>长上下文输入倍率</t>
  </si>
  <si>
    <t>倍</t>
  </si>
  <si>
    <t>输入超过阈值时，输入费率乘此倍数。</t>
  </si>
  <si>
    <t>长上下文输出倍率</t>
  </si>
  <si>
    <t>输入超过阈值时，输出费率乘此倍数。</t>
  </si>
  <si>
    <t>图像计费token倍率</t>
  </si>
  <si>
    <t>有效patch数乘倍率后向上取整；只乘一次。</t>
  </si>
  <si>
    <t>https://developers.openai.com/api/docs/guides/images-vision</t>
  </si>
  <si>
    <t>整页图有效patch数</t>
  </si>
  <si>
    <t>patch/图</t>
  </si>
  <si>
    <t>2048×2048方形整页画布，high细节；缩放后50×50个patch。</t>
  </si>
  <si>
    <t>局部图有效patch数</t>
  </si>
  <si>
    <t>1024×1024局部裁剪，high细节；32×32个patch。</t>
  </si>
  <si>
    <t>每页整页图数</t>
  </si>
  <si>
    <t>图/页</t>
  </si>
  <si>
    <t>每个Sol或Astra请求均携带整页图。</t>
  </si>
  <si>
    <t>用量假设</t>
  </si>
  <si>
    <t>每页局部裁剪图数</t>
  </si>
  <si>
    <t>每个Sol或Astra请求均携带4个局部图；超出需调整。</t>
  </si>
  <si>
    <t>需要OCR的页面比例</t>
  </si>
  <si>
    <t>比例</t>
  </si>
  <si>
    <t>按所有页使用OCR预算；矢量PDF成功抽取时可降低。</t>
  </si>
  <si>
    <t>开发图纸数</t>
  </si>
  <si>
    <t>张</t>
  </si>
  <si>
    <t>用于开发与回归，人工精标样本单独计费。</t>
  </si>
  <si>
    <t>工作量假设</t>
  </si>
  <si>
    <t>开发每张平均页数</t>
  </si>
  <si>
    <t>页/张</t>
  </si>
  <si>
    <t>多页图纸据实际平均页数调整。</t>
  </si>
  <si>
    <t>开发推理回归轮数</t>
  </si>
  <si>
    <t>轮</t>
  </si>
  <si>
    <t>按3个月开发约每1～2周一轮规划；每轮执行分析及审校。</t>
  </si>
  <si>
    <t>开发OCR执行轮数</t>
  </si>
  <si>
    <t>OCR结果由应用缓存复用；重跑OCR时增加此数。</t>
  </si>
  <si>
    <t>应用缓存假设</t>
  </si>
  <si>
    <t>演示图纸数</t>
  </si>
  <si>
    <t>独立于开发调用批次，重复调用仍计消耗。</t>
  </si>
  <si>
    <t>演示每张平均页数</t>
  </si>
  <si>
    <t>按实际平均页数调整。</t>
  </si>
  <si>
    <t>演示推理轮数</t>
  </si>
  <si>
    <t>每张图纸一次完整分析与审校。</t>
  </si>
  <si>
    <t>演示OCR执行轮数</t>
  </si>
  <si>
    <t>每张图纸执行一次OCR。</t>
  </si>
  <si>
    <t>额外计费重试率</t>
  </si>
  <si>
    <t>预留基础请求数10%的额外收费尝试，非实测失败率。</t>
  </si>
  <si>
    <t>规划预留</t>
  </si>
  <si>
    <t>Astra审校覆盖率</t>
  </si>
  <si>
    <t>按100%审校预算；降低前需验证误报、漏检。</t>
  </si>
  <si>
    <t>路由假设</t>
  </si>
  <si>
    <t>Sol每请求文字输入</t>
  </si>
  <si>
    <t>token</t>
  </si>
  <si>
    <t>含OCR文字、提示词、规则与上下文，不含图像token。</t>
  </si>
  <si>
    <t>用量假设，待实测</t>
  </si>
  <si>
    <t>Sol每请求计费输出</t>
  </si>
  <si>
    <t>含候选报告和思考token，不仅是最后显示的文字。</t>
  </si>
  <si>
    <t>Astra每请求文字输入</t>
  </si>
  <si>
    <t>含候选问题、规则和证据文字，不含图像token。</t>
  </si>
  <si>
    <t>Astra每请求计费输出</t>
  </si>
  <si>
    <t>含审校报告和思考token。</t>
  </si>
  <si>
    <t>模型费用</t>
  </si>
  <si>
    <t>API独立按量计费，不能用ChatGPT订阅价格替代。</t>
  </si>
  <si>
    <t>图像精度</t>
  </si>
  <si>
    <t>图像规格用于计费预算，不证明细小尺寸、公差和符号已经能准确识别。</t>
  </si>
  <si>
    <t>避免重复输入</t>
  </si>
  <si>
    <t>本地渲染PDF后传图，不再重复上传同一PDF作为模型文件输入。</t>
  </si>
  <si>
    <t>工具费用</t>
  </si>
  <si>
    <t>规则计算、检索和渲染使用项目服务器；不启用收费搜索或代码容器。</t>
  </si>
  <si>
    <t>文字输入如何估</t>
  </si>
  <si>
    <t>50K/30K是复杂图纸连同规则上下文的占位预算；用真实usage校准。</t>
  </si>
  <si>
    <t>输出如何估</t>
  </si>
  <si>
    <t>4K为每次请求全部计费输出假设；高推理强度可能明显增加。</t>
  </si>
  <si>
    <t>OCR、图像识别与审校 API 测算</t>
  </si>
  <si>
    <t>Mistral OCR 4.0 → GPT-5.6 Sol视觉分析 → 规则检查 → GPT-6 Astra审校。</t>
  </si>
  <si>
    <t>调用项目</t>
  </si>
  <si>
    <t>计价单位</t>
  </si>
  <si>
    <t>单价（美元）</t>
  </si>
  <si>
    <t>开发用量</t>
  </si>
  <si>
    <t>开发费用（元）</t>
  </si>
  <si>
    <t>演示用量</t>
  </si>
  <si>
    <t>演示费用（元）</t>
  </si>
  <si>
    <t>计费说明</t>
  </si>
  <si>
    <t>千页</t>
  </si>
  <si>
    <t>用量为页次，除以1000再乘单价及汇率。</t>
  </si>
  <si>
    <t>Sol图像输入</t>
  </si>
  <si>
    <t>百万token</t>
  </si>
  <si>
    <t>整页＋局部图的图像token，按输入价计费。</t>
  </si>
  <si>
    <t>Sol文字输入</t>
  </si>
  <si>
    <t>OCR文字、规则和上下文；不含图像token。</t>
  </si>
  <si>
    <t>Sol计费输出</t>
  </si>
  <si>
    <t>视觉分析和候选问题输出，包含思考token。</t>
  </si>
  <si>
    <t>Astra图像输入</t>
  </si>
  <si>
    <t>审校重新看图，是第二个请求的图像输入费用。</t>
  </si>
  <si>
    <t>Astra文字输入</t>
  </si>
  <si>
    <t>候选问题、规则依据、证据文字及审校指令。</t>
  </si>
  <si>
    <t>Astra计费输出</t>
  </si>
  <si>
    <t>最终审校及报告，包含思考token。</t>
  </si>
  <si>
    <t>API预计消耗</t>
  </si>
  <si>
    <t>含重试预留；七项相加即该阶段全部API费用。</t>
  </si>
  <si>
    <t>预算取整单位（元）</t>
  </si>
  <si>
    <t>纳入项目预算</t>
  </si>
  <si>
    <t>分别向上取整到100元；不再另计一笔模型充值预算。</t>
  </si>
  <si>
    <t>调用量计算</t>
  </si>
  <si>
    <t>开发数量</t>
  </si>
  <si>
    <t>说明</t>
  </si>
  <si>
    <t>演示数量</t>
  </si>
  <si>
    <t>Sol请求次数</t>
  </si>
  <si>
    <t>次</t>
  </si>
  <si>
    <t>图纸张数×平均页数×推理轮数×（1＋额外重试率）。</t>
  </si>
  <si>
    <t>Astra请求次数</t>
  </si>
  <si>
    <t>Sol请求数×审校覆盖率。</t>
  </si>
  <si>
    <t>OCR处理页数</t>
  </si>
  <si>
    <t>页次</t>
  </si>
  <si>
    <t>张数×平均页数×OCR轮数×OCR覆盖率×（1＋额外重试率）。</t>
  </si>
  <si>
    <t>图像类型</t>
  </si>
  <si>
    <t>有效patch</t>
  </si>
  <si>
    <t>计费倍率</t>
  </si>
  <si>
    <t>每图token</t>
  </si>
  <si>
    <t>每页图数</t>
  </si>
  <si>
    <t>每页图像token</t>
  </si>
  <si>
    <t>整页图 high</t>
  </si>
  <si>
    <t>局部裁剪 high</t>
  </si>
  <si>
    <t>每请求图像token</t>
  </si>
  <si>
    <t>每请求处理1页；图像token＝各类图像数量×每图token之和。</t>
  </si>
  <si>
    <t>模型</t>
  </si>
  <si>
    <t>文字输入token</t>
  </si>
  <si>
    <t>图像输入token</t>
  </si>
  <si>
    <t>总输入token</t>
  </si>
  <si>
    <t>计费输出token</t>
  </si>
  <si>
    <t>输入倍率</t>
  </si>
  <si>
    <t>输出倍率</t>
  </si>
  <si>
    <t>单次费用推导</t>
  </si>
  <si>
    <t>单次用量</t>
  </si>
  <si>
    <t>单次费用（元）</t>
  </si>
  <si>
    <t>OCR：每页÷1000×4美元×汇率。</t>
  </si>
  <si>
    <t>图像输入：图像token÷100万×输入单价×汇率。</t>
  </si>
  <si>
    <t>文字输入：文字token÷100万×输入单价×汇率。</t>
  </si>
  <si>
    <t>输出：计费输出token÷100万×输出单价×汇率。</t>
  </si>
  <si>
    <t>Astra按自身输入单价计算，传入相同的图像证据。</t>
  </si>
  <si>
    <t>Astra文字输入量与Sol独立设置。</t>
  </si>
  <si>
    <t>Astra输出按50美元/百万token计算，含思考token。</t>
  </si>
  <si>
    <t>单页完整链路费用</t>
  </si>
  <si>
    <t>单页1次OCR＋1次Sol＋1次Astra，不含重试；复核覆盖率改变不修改此单次定义。</t>
  </si>
  <si>
    <t>计费注意</t>
  </si>
  <si>
    <t>OCR缓存由应用实现；未计提示词缓存、Batch优惠或收费工具。</t>
  </si>
  <si>
    <t>CAD 第一阶段研发成本估算</t>
  </si>
  <si>
    <t>单图规范检查；4个月研发交付，基础设施按1年计。</t>
  </si>
  <si>
    <t>类别</t>
  </si>
  <si>
    <t>细项</t>
  </si>
  <si>
    <t>计费口径与说明</t>
  </si>
  <si>
    <t>金额（¥）</t>
  </si>
  <si>
    <t>人力</t>
  </si>
  <si>
    <t>全栈工程师 × 1</t>
  </si>
  <si>
    <t>4个月（3个月开发测试＋1个月演示试跑），25,000元/人月</t>
  </si>
  <si>
    <t>模型API</t>
  </si>
  <si>
    <t>开发与演示共1,100页次，实际约31.68元；预算按100元取整</t>
  </si>
  <si>
    <t>视觉分析调用预算；50K文字输入＋7,916图像token＋4K计费输出</t>
  </si>
  <si>
    <t>复杂问题审校预算；30K文字输入＋7,916图像token＋4K计费输出</t>
  </si>
  <si>
    <t>签前用10张客户真实图纸验证OCR→Sol→规则→Astra链路；已含人力</t>
  </si>
  <si>
    <t>基础设施</t>
  </si>
  <si>
    <t>1台4核16G，计算资源约400＋系统盘约50＝450元/月 × 12个月</t>
  </si>
  <si>
    <t>150元/月 × 12个月，用于客户远程访问演示系统</t>
  </si>
  <si>
    <t>原图、切片、结果JSON存储及少量外网流量预留</t>
  </si>
  <si>
    <t>一年</t>
  </si>
  <si>
    <t>告警、日志和持续集成流水线，一年</t>
  </si>
  <si>
    <t>稳定接入节点及流量，1,500元/月 × 12个月</t>
  </si>
  <si>
    <t>知识库</t>
  </si>
  <si>
    <t>客户提供所需标准资料，研发费用0元。</t>
  </si>
  <si>
    <t>开源部署，无额外软件授权费用，开发已含人力</t>
  </si>
  <si>
    <t>数据准备</t>
  </si>
  <si>
    <t>图纸样本收集</t>
  </si>
  <si>
    <t>客户收集、清理并提供典型图纸；研发费用0元。</t>
  </si>
  <si>
    <t>客户专家承担开发集标注与复核；属于客户承担的专家支持费用，研发费用0元。</t>
  </si>
  <si>
    <t>客户专家承担演示样本补充标注与复核；属于客户承担的专家支持费用，研发费用0元。</t>
  </si>
  <si>
    <t>客户专家独立完成测试集标注与复核；属于客户承担的专家支持费用，研发费用0元。</t>
  </si>
  <si>
    <t>测评</t>
  </si>
  <si>
    <t>评估脚本／POC测试报告</t>
  </si>
  <si>
    <t>已含人力</t>
  </si>
  <si>
    <t>其他</t>
  </si>
  <si>
    <t>差旅、税费、不可预见</t>
  </si>
  <si>
    <t>按研发直接费用小计的5%计提。</t>
  </si>
  <si>
    <t>总计</t>
  </si>
  <si>
    <t>第一阶段内部成本预算，非含税销售报价</t>
  </si>
  <si>
    <t>计费解释</t>
  </si>
  <si>
    <t>逐项单价依据见“单价依据与范围”；图像、OCR和模型token推导见“API测算”。</t>
  </si>
  <si>
    <t>用量口径</t>
  </si>
  <si>
    <t>开发500张×1页×8轮；演示500张×1页×1轮。OCR各执行1轮并缓存。</t>
  </si>
  <si>
    <t>待确认增项</t>
  </si>
  <si>
    <t>客户承担的专家支持费用不计入研发费用；CAD工具授权预留5,000元未计入总计。</t>
  </si>
  <si>
    <t>估算说明</t>
  </si>
  <si>
    <t>类别和细项按客户提供的CSV整理；金额采用本次已确认口径。</t>
  </si>
  <si>
    <t>CAD 第一阶段研发成本预算</t>
  </si>
  <si>
    <t>4个月研发与交付，基础设施按1年；PDF为主，DWG/DXF补充；人民币。</t>
  </si>
  <si>
    <t>项目预算合计</t>
  </si>
  <si>
    <t>单图规范检查POC；不含学生评分、长期人工维护及销售利润。</t>
  </si>
  <si>
    <t>研发交付月数</t>
  </si>
  <si>
    <t>风险预备费率</t>
  </si>
  <si>
    <t>基础设施月数</t>
  </si>
  <si>
    <t>一年设施费用不等于一年人工维护；详细单价说明见“单价依据与范围”。</t>
  </si>
  <si>
    <t>成本类别</t>
  </si>
  <si>
    <t>费用项目</t>
  </si>
  <si>
    <t>数量</t>
  </si>
  <si>
    <t>单价（元）</t>
  </si>
  <si>
    <t>金额（元）</t>
  </si>
  <si>
    <t>数量、单价解释及范围</t>
  </si>
  <si>
    <t>人月</t>
  </si>
  <si>
    <t>4个月（3个月开发测试＋1个月演示试跑），25,000元/人月。</t>
  </si>
  <si>
    <t>项</t>
  </si>
  <si>
    <t>开发与演示OCR费用，按100元纳入预算；实际调用推导见“API测算”。</t>
  </si>
  <si>
    <t>视觉分析的图像、文字输入和计费输出，按100元取整纳入预算。</t>
  </si>
  <si>
    <t>复杂问题审校的图像、文字输入和计费输出；承担API预算取整差额。</t>
  </si>
  <si>
    <t>签前用10张客户真实图纸验证完整链路；工程工时已含人力，不重复计费。</t>
  </si>
  <si>
    <t>月</t>
  </si>
  <si>
    <t>1台4核16G，计算资源约400元/月＋系统盘约50元/月。</t>
  </si>
  <si>
    <t>公网访问预算150元/月，用于客户远程访问演示系统。</t>
  </si>
  <si>
    <t>年</t>
  </si>
  <si>
    <t>原图、切片与结果JSON存储，以及少量外网流量预留。</t>
  </si>
  <si>
    <t>域名及HTTPS证书年度预算。</t>
  </si>
  <si>
    <t>告警、日志和持续集成流水线年度预算。</t>
  </si>
  <si>
    <t>稳定接入节点及流量预算；不重复计模型token费用。</t>
  </si>
  <si>
    <t>份</t>
  </si>
  <si>
    <t>客户提供所需标准资料；研发费用0元。</t>
  </si>
  <si>
    <t>采用开源组件部署，无额外软件授权费用。</t>
  </si>
  <si>
    <t>客户专家负责问题判断、位置、依据和复核；属于客户承担的专家支持费用，研发费用0元。研发人员仅负责数据导入和联调，已含研发人力。</t>
  </si>
  <si>
    <t>客户专家负责演示样本的补充标注与复核；属于客户承担的专家支持费用，研发费用0元。</t>
  </si>
  <si>
    <t>客户专家独立完成留出测试集标注与复核；属于客户承担的专家支持费用，研发费用0元。</t>
  </si>
  <si>
    <t>评估脚本、指标统计和POC报告已含人力。</t>
  </si>
  <si>
    <t>直接费用小计</t>
  </si>
  <si>
    <t>API按官方费率和用量假设测算，其余费用为内部预算。</t>
  </si>
  <si>
    <t>按直接费用×5%计提；不是税率或供应商服务费。</t>
  </si>
  <si>
    <t>待确认增项（未计入合计）</t>
  </si>
  <si>
    <t>专家由客户组织，属于客户承担的专家支持费用，不计入研发费用；这里只保留可能发生的CAD工具授权。</t>
  </si>
  <si>
    <t>CAD工具授权</t>
  </si>
  <si>
    <t>5000元是采购预留上限假设，并非已取得的商用SDK授权报价。</t>
  </si>
  <si>
    <t>计入CAD授权后的预算</t>
  </si>
  <si>
    <t>如需购买CAD工具授权，追加直接费用后统一计提相同预备费率。</t>
  </si>
  <si>
    <t>单价来源</t>
  </si>
  <si>
    <t>《研发成本估算.md》、示例CSV及官方API定价；未询价项目在单价说明表标记。</t>
  </si>
  <si>
    <t>使用说明</t>
  </si>
  <si>
    <t>黄色蓝字可修改；黑字为计算值，绿字为跨表引用。</t>
  </si>
  <si>
    <t>成本边界</t>
  </si>
  <si>
    <t>内部成本规划，非含税销售报价；不计第二阶段开发。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</si>
</sst>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\¥#,##0"/>
    <numFmt numFmtId="178" formatCode="#,##0.00;\(#,##0.00\);&quot;—&quot;"/>
    <numFmt numFmtId="179" formatCode="#,##0.00;\(#,##0.00\);0"/>
    <numFmt numFmtId="180" formatCode="#,##0;\(#,##0\);&quot;—&quot;"/>
    <numFmt numFmtId="181" formatCode="0.0"/>
    <numFmt numFmtId="182" formatCode="0.0000"/>
    <numFmt numFmtId="183" formatCode="0.0%"/>
  </numFmts>
  <fonts count="36">
    <font>
      <sz val="11"/>
      <name val="Carlito"/>
      <charset val="134"/>
    </font>
    <font>
      <sz val="11"/>
      <color rgb="FF17283B"/>
      <name val="Arial"/>
      <charset val="134"/>
    </font>
    <font>
      <b/>
      <sz val="16"/>
      <color rgb="FF17283B"/>
      <name val="Arial"/>
      <charset val="134"/>
    </font>
    <font>
      <sz val="11"/>
      <color rgb="FF0000FF"/>
      <name val="Arial"/>
      <charset val="134"/>
    </font>
    <font>
      <b/>
      <sz val="11"/>
      <color rgb="FFFFFFFF"/>
      <name val="Arial"/>
      <charset val="134"/>
    </font>
    <font>
      <b/>
      <sz val="11"/>
      <color rgb="FF17283B"/>
      <name val="Arial"/>
      <charset val="134"/>
    </font>
    <font>
      <sz val="11"/>
      <color rgb="FF008040"/>
      <name val="Arial"/>
      <charset val="134"/>
    </font>
    <font>
      <sz val="12"/>
      <color rgb="FF17283B"/>
      <name val="Arial"/>
      <charset val="134"/>
    </font>
    <font>
      <b/>
      <sz val="12"/>
      <color rgb="FFFFFFFF"/>
      <name val="Arial"/>
      <charset val="134"/>
    </font>
    <font>
      <sz val="12"/>
      <color rgb="FF17283B"/>
      <name val="宋体-简"/>
      <charset val="134"/>
    </font>
    <font>
      <b/>
      <sz val="12"/>
      <color rgb="FF17283B"/>
      <name val="Arial"/>
      <charset val="134"/>
    </font>
    <font>
      <sz val="12"/>
      <color rgb="FF008040"/>
      <name val="Arial"/>
      <charset val="134"/>
    </font>
    <font>
      <b/>
      <sz val="12"/>
      <color rgb="FF008040"/>
      <name val="Arial"/>
      <charset val="134"/>
    </font>
    <font>
      <sz val="11"/>
      <color rgb="FF17283B"/>
      <name val="宋体-简"/>
      <charset val="134"/>
    </font>
    <font>
      <sz val="10"/>
      <name val="Arial Unicode MS"/>
      <charset val="134"/>
    </font>
    <font>
      <b/>
      <sz val="12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4EDF5"/>
        <bgColor indexed="64"/>
      </patternFill>
    </fill>
    <fill>
      <patternFill patternType="solid">
        <fgColor rgb="FFFFF1CC"/>
        <bgColor indexed="64"/>
      </patternFill>
    </fill>
    <fill>
      <patternFill patternType="solid">
        <fgColor rgb="FF243E5C"/>
        <bgColor indexed="64"/>
      </patternFill>
    </fill>
    <fill>
      <patternFill patternType="solid">
        <fgColor rgb="FFEFF3F7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4" applyNumberFormat="0" applyAlignment="0" applyProtection="0">
      <alignment vertical="center"/>
    </xf>
    <xf numFmtId="0" fontId="27" fillId="9" borderId="5" applyNumberFormat="0" applyAlignment="0" applyProtection="0">
      <alignment vertical="center"/>
    </xf>
    <xf numFmtId="0" fontId="28" fillId="9" borderId="4" applyNumberFormat="0" applyAlignment="0" applyProtection="0">
      <alignment vertical="center"/>
    </xf>
    <xf numFmtId="0" fontId="29" fillId="10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2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horizontal="center" vertical="center"/>
    </xf>
    <xf numFmtId="176" fontId="1" fillId="5" borderId="0" xfId="49" applyNumberFormat="1" applyFont="1" applyFill="1" applyBorder="1" applyAlignment="1">
      <alignment vertical="center"/>
    </xf>
    <xf numFmtId="176" fontId="3" fillId="3" borderId="0" xfId="49" applyNumberFormat="1" applyFont="1" applyFill="1" applyBorder="1" applyAlignment="1">
      <alignment vertical="center"/>
    </xf>
    <xf numFmtId="176" fontId="1" fillId="0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5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7" fontId="2" fillId="2" borderId="0" xfId="49" applyNumberFormat="1" applyFont="1" applyFill="1" applyBorder="1" applyAlignment="1">
      <alignment vertical="center"/>
    </xf>
    <xf numFmtId="9" fontId="3" fillId="3" borderId="0" xfId="0" applyNumberFormat="1" applyFont="1" applyFill="1" applyBorder="1" applyAlignment="1">
      <alignment vertical="center"/>
    </xf>
    <xf numFmtId="178" fontId="3" fillId="3" borderId="0" xfId="49" applyNumberFormat="1" applyFont="1" applyFill="1" applyBorder="1" applyAlignment="1">
      <alignment vertical="center"/>
    </xf>
    <xf numFmtId="178" fontId="1" fillId="0" borderId="0" xfId="49" applyNumberFormat="1" applyFont="1" applyFill="1" applyBorder="1" applyAlignment="1">
      <alignment vertical="center"/>
    </xf>
    <xf numFmtId="178" fontId="6" fillId="5" borderId="0" xfId="49" applyNumberFormat="1" applyFont="1" applyFill="1" applyBorder="1" applyAlignment="1">
      <alignment vertical="center"/>
    </xf>
    <xf numFmtId="178" fontId="1" fillId="2" borderId="0" xfId="49" applyNumberFormat="1" applyFont="1" applyFill="1" applyBorder="1" applyAlignment="1">
      <alignment vertical="center"/>
    </xf>
    <xf numFmtId="178" fontId="5" fillId="2" borderId="0" xfId="49" applyNumberFormat="1" applyFont="1" applyFill="1" applyBorder="1" applyAlignment="1">
      <alignment vertical="center"/>
    </xf>
    <xf numFmtId="0" fontId="7" fillId="0" borderId="0" xfId="49" applyNumberFormat="1" applyFont="1" applyFill="1" applyBorder="1"/>
    <xf numFmtId="0" fontId="7" fillId="0" borderId="0" xfId="49" applyNumberFormat="1" applyFont="1" applyFill="1" applyBorder="1" applyAlignment="1">
      <alignment vertical="center"/>
    </xf>
    <xf numFmtId="0" fontId="8" fillId="4" borderId="0" xfId="49" applyNumberFormat="1" applyFont="1" applyFill="1" applyBorder="1" applyAlignment="1">
      <alignment horizontal="center" vertical="center"/>
    </xf>
    <xf numFmtId="0" fontId="7" fillId="6" borderId="0" xfId="49" applyNumberFormat="1" applyFont="1" applyFill="1" applyBorder="1" applyAlignment="1">
      <alignment vertical="center" wrapText="1"/>
    </xf>
    <xf numFmtId="0" fontId="7" fillId="0" borderId="0" xfId="49" applyNumberFormat="1" applyFont="1" applyFill="1" applyBorder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0" fontId="9" fillId="6" borderId="0" xfId="49" applyNumberFormat="1" applyFont="1" applyFill="1" applyBorder="1" applyAlignment="1">
      <alignment vertical="center" wrapText="1"/>
    </xf>
    <xf numFmtId="0" fontId="7" fillId="2" borderId="0" xfId="49" applyNumberFormat="1" applyFont="1" applyFill="1" applyBorder="1" applyAlignment="1">
      <alignment vertical="center" wrapText="1"/>
    </xf>
    <xf numFmtId="0" fontId="9" fillId="2" borderId="0" xfId="49" applyNumberFormat="1" applyFont="1" applyFill="1" applyBorder="1" applyAlignment="1">
      <alignment vertical="center" wrapText="1"/>
    </xf>
    <xf numFmtId="0" fontId="10" fillId="2" borderId="0" xfId="49" applyNumberFormat="1" applyFont="1" applyFill="1" applyBorder="1" applyAlignment="1">
      <alignment vertical="center" wrapText="1"/>
    </xf>
    <xf numFmtId="179" fontId="11" fillId="6" borderId="0" xfId="0" applyNumberFormat="1" applyFont="1" applyFill="1" applyBorder="1" applyAlignment="1">
      <alignment vertical="center" wrapText="1"/>
    </xf>
    <xf numFmtId="179" fontId="11" fillId="0" borderId="0" xfId="0" applyNumberFormat="1" applyFont="1" applyFill="1" applyBorder="1" applyAlignment="1">
      <alignment vertical="center" wrapText="1"/>
    </xf>
    <xf numFmtId="179" fontId="11" fillId="2" borderId="0" xfId="0" applyNumberFormat="1" applyFont="1" applyFill="1" applyBorder="1" applyAlignment="1">
      <alignment vertical="center" wrapText="1"/>
    </xf>
    <xf numFmtId="179" fontId="12" fillId="2" borderId="0" xfId="0" applyNumberFormat="1" applyFont="1" applyFill="1" applyBorder="1" applyAlignment="1">
      <alignment vertical="center" wrapText="1"/>
    </xf>
    <xf numFmtId="178" fontId="6" fillId="0" borderId="0" xfId="49" applyNumberFormat="1" applyFont="1" applyFill="1" applyBorder="1" applyAlignment="1">
      <alignment vertical="center"/>
    </xf>
    <xf numFmtId="0" fontId="6" fillId="0" borderId="0" xfId="49" applyNumberFormat="1" applyFont="1" applyFill="1" applyBorder="1" applyAlignment="1">
      <alignment vertical="center"/>
    </xf>
    <xf numFmtId="180" fontId="6" fillId="0" borderId="0" xfId="49" applyNumberFormat="1" applyFont="1" applyFill="1" applyBorder="1" applyAlignment="1">
      <alignment vertical="center"/>
    </xf>
    <xf numFmtId="181" fontId="6" fillId="0" borderId="0" xfId="49" applyNumberFormat="1" applyFont="1" applyFill="1" applyBorder="1" applyAlignment="1">
      <alignment vertical="center"/>
    </xf>
    <xf numFmtId="180" fontId="1" fillId="0" borderId="0" xfId="49" applyNumberFormat="1" applyFont="1" applyFill="1" applyBorder="1" applyAlignment="1">
      <alignment vertical="center"/>
    </xf>
    <xf numFmtId="180" fontId="4" fillId="4" borderId="0" xfId="49" applyNumberFormat="1" applyFont="1" applyFill="1" applyBorder="1" applyAlignment="1">
      <alignment horizontal="center" vertical="center"/>
    </xf>
    <xf numFmtId="182" fontId="1" fillId="0" borderId="0" xfId="49" applyNumberFormat="1" applyFont="1" applyFill="1" applyBorder="1" applyAlignment="1">
      <alignment vertical="center"/>
    </xf>
    <xf numFmtId="178" fontId="6" fillId="2" borderId="0" xfId="49" applyNumberFormat="1" applyFont="1" applyFill="1" applyBorder="1" applyAlignment="1">
      <alignment vertical="center"/>
    </xf>
    <xf numFmtId="182" fontId="6" fillId="0" borderId="0" xfId="49" applyNumberFormat="1" applyFont="1" applyFill="1" applyBorder="1" applyAlignment="1">
      <alignment vertical="center"/>
    </xf>
    <xf numFmtId="4" fontId="3" fillId="3" borderId="0" xfId="49" applyNumberFormat="1" applyFont="1" applyFill="1" applyBorder="1" applyAlignment="1">
      <alignment vertical="center"/>
    </xf>
    <xf numFmtId="183" fontId="3" fillId="3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vertical="center" wrapText="1"/>
    </xf>
    <xf numFmtId="0" fontId="13" fillId="0" borderId="0" xfId="49" applyNumberFormat="1" applyFont="1" applyFill="1" applyBorder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49" applyAlignment="1">
      <alignment vertical="top" wrapText="1"/>
    </xf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B91C1C"/>
      </font>
      <fill>
        <patternFill patternType="solid">
          <bgColor rgb="FFFCE4E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"/>
  <sheetViews>
    <sheetView zoomScale="102" zoomScaleNormal="102" topLeftCell="A4" workbookViewId="0">
      <selection activeCell="A8" sqref="A8"/>
    </sheetView>
  </sheetViews>
  <sheetFormatPr defaultColWidth="8.94117647058824" defaultRowHeight="16.8" outlineLevelRow="7" outlineLevelCol="4"/>
  <cols>
    <col min="1" max="1" width="14.6544117647059" customWidth="1"/>
    <col min="2" max="2" width="26.7941176470588" customWidth="1"/>
    <col min="3" max="3" width="27.5073529411765" customWidth="1"/>
    <col min="4" max="4" width="27.3897058823529" customWidth="1"/>
    <col min="5" max="5" width="46.25" customWidth="1"/>
  </cols>
  <sheetData>
    <row r="2" ht="17" spans="1:5">
      <c r="A2" s="50" t="s">
        <v>0</v>
      </c>
      <c r="B2" s="50" t="s">
        <v>1</v>
      </c>
      <c r="C2" s="50" t="s">
        <v>2</v>
      </c>
      <c r="D2" s="50" t="s">
        <v>3</v>
      </c>
      <c r="E2" t="s">
        <v>4</v>
      </c>
    </row>
    <row r="3" ht="69" customHeight="1" spans="1:5">
      <c r="A3" s="51" t="s">
        <v>5</v>
      </c>
      <c r="B3" s="51" t="s">
        <v>6</v>
      </c>
      <c r="C3" s="51" t="s">
        <v>7</v>
      </c>
      <c r="D3" s="51" t="s">
        <v>8</v>
      </c>
      <c r="E3" s="52" t="s">
        <v>9</v>
      </c>
    </row>
    <row r="4" ht="135" spans="1:5">
      <c r="A4" s="51" t="s">
        <v>10</v>
      </c>
      <c r="B4" s="51" t="s">
        <v>11</v>
      </c>
      <c r="C4" s="51" t="s">
        <v>12</v>
      </c>
      <c r="D4" s="51" t="s">
        <v>13</v>
      </c>
      <c r="E4" s="53" t="s">
        <v>14</v>
      </c>
    </row>
    <row r="5" ht="68" customHeight="1" spans="1:4">
      <c r="A5" s="51" t="s">
        <v>15</v>
      </c>
      <c r="B5" s="51" t="s">
        <v>16</v>
      </c>
      <c r="C5" s="51" t="s">
        <v>17</v>
      </c>
      <c r="D5" s="51" t="s">
        <v>18</v>
      </c>
    </row>
    <row r="6" ht="51" spans="1:4">
      <c r="A6" s="51" t="s">
        <v>19</v>
      </c>
      <c r="B6" s="51" t="s">
        <v>20</v>
      </c>
      <c r="C6" s="51" t="s">
        <v>21</v>
      </c>
      <c r="D6" s="51" t="s">
        <v>22</v>
      </c>
    </row>
    <row r="7" ht="61" customHeight="1" spans="1:4">
      <c r="A7" s="51" t="s">
        <v>23</v>
      </c>
      <c r="B7" s="51" t="s">
        <v>24</v>
      </c>
      <c r="C7" s="51" t="s">
        <v>25</v>
      </c>
      <c r="D7" s="51" t="s">
        <v>26</v>
      </c>
    </row>
    <row r="8" ht="34" spans="1:4">
      <c r="A8" s="51" t="s">
        <v>27</v>
      </c>
      <c r="B8" s="51" t="s">
        <v>28</v>
      </c>
      <c r="C8" s="51" t="s">
        <v>29</v>
      </c>
      <c r="D8" s="51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77"/>
  <sheetViews>
    <sheetView topLeftCell="A61" workbookViewId="0">
      <selection activeCell="B80" sqref="B80"/>
    </sheetView>
  </sheetViews>
  <sheetFormatPr defaultColWidth="8.94117647058824" defaultRowHeight="16.8" outlineLevelCol="1"/>
  <cols>
    <col min="1" max="1" width="14.7058823529412" customWidth="1"/>
    <col min="2" max="2" width="78.6691176470588" customWidth="1"/>
  </cols>
  <sheetData>
    <row r="2" spans="1:2">
      <c r="A2" s="46" t="s">
        <v>31</v>
      </c>
      <c r="B2" s="46"/>
    </row>
    <row r="3" spans="2:2">
      <c r="B3" s="46" t="s">
        <v>32</v>
      </c>
    </row>
    <row r="4" spans="2:2">
      <c r="B4" s="46" t="s">
        <v>33</v>
      </c>
    </row>
    <row r="5" spans="2:2">
      <c r="B5" s="47" t="s">
        <v>34</v>
      </c>
    </row>
    <row r="6" spans="2:2">
      <c r="B6" s="47" t="s">
        <v>35</v>
      </c>
    </row>
    <row r="7" spans="2:2">
      <c r="B7" s="47" t="s">
        <v>36</v>
      </c>
    </row>
    <row r="8" spans="2:2">
      <c r="B8" s="47" t="s">
        <v>37</v>
      </c>
    </row>
    <row r="9" spans="2:2">
      <c r="B9" s="47" t="s">
        <v>38</v>
      </c>
    </row>
    <row r="10" spans="2:2">
      <c r="B10" s="47" t="s">
        <v>39</v>
      </c>
    </row>
    <row r="11" spans="2:2">
      <c r="B11" s="46" t="s">
        <v>40</v>
      </c>
    </row>
    <row r="12" spans="2:2">
      <c r="B12" s="46"/>
    </row>
    <row r="13" spans="2:2">
      <c r="B13" s="46" t="s">
        <v>41</v>
      </c>
    </row>
    <row r="14" spans="1:2">
      <c r="A14" s="46" t="s">
        <v>42</v>
      </c>
      <c r="B14" s="48" t="s">
        <v>43</v>
      </c>
    </row>
    <row r="15" spans="2:2">
      <c r="B15" s="48" t="s">
        <v>44</v>
      </c>
    </row>
    <row r="16" spans="2:2">
      <c r="B16" s="48" t="s">
        <v>45</v>
      </c>
    </row>
    <row r="17" spans="2:2">
      <c r="B17" s="48" t="s">
        <v>46</v>
      </c>
    </row>
    <row r="18" spans="2:2">
      <c r="B18" s="48" t="s">
        <v>47</v>
      </c>
    </row>
    <row r="19" spans="2:2">
      <c r="B19" s="48" t="s">
        <v>48</v>
      </c>
    </row>
    <row r="20" ht="17.6" spans="1:2">
      <c r="A20" s="49"/>
      <c r="B20" s="47"/>
    </row>
    <row r="21" spans="2:2">
      <c r="B21" s="47"/>
    </row>
    <row r="22" spans="2:2">
      <c r="B22" s="47"/>
    </row>
    <row r="23" spans="2:2">
      <c r="B23" s="47"/>
    </row>
    <row r="24" spans="2:2">
      <c r="B24" s="47"/>
    </row>
    <row r="25" spans="2:2">
      <c r="B25" s="47"/>
    </row>
    <row r="26" spans="2:2">
      <c r="B26" s="47"/>
    </row>
    <row r="27" spans="2:2">
      <c r="B27" s="47"/>
    </row>
    <row r="28" spans="1:2">
      <c r="A28" s="46"/>
      <c r="B28" s="46"/>
    </row>
    <row r="29" spans="2:2">
      <c r="B29" s="47"/>
    </row>
    <row r="30" spans="2:2">
      <c r="B30" s="47"/>
    </row>
    <row r="31" spans="2:2">
      <c r="B31" s="47"/>
    </row>
    <row r="32" spans="2:2">
      <c r="B32" s="47"/>
    </row>
    <row r="33" spans="2:2">
      <c r="B33" s="47"/>
    </row>
    <row r="34" spans="2:2">
      <c r="B34" s="47"/>
    </row>
    <row r="35" spans="2:2">
      <c r="B35" s="47"/>
    </row>
    <row r="36" spans="2:2">
      <c r="B36" s="47"/>
    </row>
    <row r="37" spans="2:2">
      <c r="B37" s="47"/>
    </row>
    <row r="38" spans="2:2">
      <c r="B38" s="46"/>
    </row>
    <row r="39" spans="2:2">
      <c r="B39" s="47"/>
    </row>
    <row r="40" spans="2:2">
      <c r="B40" s="47"/>
    </row>
    <row r="41" spans="2:2">
      <c r="B41" s="47"/>
    </row>
    <row r="42" spans="2:2">
      <c r="B42" s="47"/>
    </row>
    <row r="43" spans="2:2">
      <c r="B43" s="47"/>
    </row>
    <row r="44" spans="1:2">
      <c r="A44" s="46"/>
      <c r="B44" s="46"/>
    </row>
    <row r="45" spans="2:2">
      <c r="B45" s="47"/>
    </row>
    <row r="46" spans="2:2">
      <c r="B46" s="47"/>
    </row>
    <row r="47" spans="2:2">
      <c r="B47" s="47"/>
    </row>
    <row r="48" spans="2:2">
      <c r="B48" s="47"/>
    </row>
    <row r="49" spans="2:2">
      <c r="B49" s="47"/>
    </row>
    <row r="50" spans="2:2">
      <c r="B50" s="47"/>
    </row>
    <row r="51" spans="2:2">
      <c r="B51" s="47"/>
    </row>
    <row r="52" spans="2:2">
      <c r="B52" s="47"/>
    </row>
    <row r="53" spans="2:2">
      <c r="B53" s="47"/>
    </row>
    <row r="55" spans="1:2">
      <c r="A55" s="46" t="s">
        <v>49</v>
      </c>
      <c r="B55" s="46" t="s">
        <v>50</v>
      </c>
    </row>
    <row r="56" spans="2:2">
      <c r="B56" s="46" t="s">
        <v>51</v>
      </c>
    </row>
    <row r="57" spans="2:2">
      <c r="B57" s="46" t="s">
        <v>52</v>
      </c>
    </row>
    <row r="58" spans="2:2">
      <c r="B58" s="46" t="s">
        <v>53</v>
      </c>
    </row>
    <row r="59" spans="2:2">
      <c r="B59" s="46" t="s">
        <v>54</v>
      </c>
    </row>
    <row r="60" spans="2:2">
      <c r="B60" s="46" t="s">
        <v>55</v>
      </c>
    </row>
    <row r="61" spans="2:2">
      <c r="B61" s="46" t="s">
        <v>56</v>
      </c>
    </row>
    <row r="62" spans="2:2">
      <c r="B62" s="46" t="s">
        <v>57</v>
      </c>
    </row>
    <row r="63" spans="2:2">
      <c r="B63" s="46" t="s">
        <v>58</v>
      </c>
    </row>
    <row r="64" spans="2:2">
      <c r="B64" s="46" t="s">
        <v>59</v>
      </c>
    </row>
    <row r="65" spans="2:2">
      <c r="B65" s="46" t="s">
        <v>60</v>
      </c>
    </row>
    <row r="66" spans="2:2">
      <c r="B66" s="46" t="s">
        <v>61</v>
      </c>
    </row>
    <row r="67" spans="2:2">
      <c r="B67" s="46" t="s">
        <v>62</v>
      </c>
    </row>
    <row r="68" spans="2:2">
      <c r="B68" s="46" t="s">
        <v>63</v>
      </c>
    </row>
    <row r="69" spans="2:2">
      <c r="B69" s="46" t="s">
        <v>64</v>
      </c>
    </row>
    <row r="71" spans="1:2">
      <c r="A71" s="46" t="s">
        <v>65</v>
      </c>
      <c r="B71" s="46" t="s">
        <v>66</v>
      </c>
    </row>
    <row r="72" spans="2:2">
      <c r="B72" s="47" t="s">
        <v>67</v>
      </c>
    </row>
    <row r="73" spans="2:2">
      <c r="B73" s="47" t="s">
        <v>68</v>
      </c>
    </row>
    <row r="74" spans="2:2">
      <c r="B74" s="47" t="s">
        <v>69</v>
      </c>
    </row>
    <row r="75" spans="2:2">
      <c r="B75" s="47" t="s">
        <v>70</v>
      </c>
    </row>
    <row r="76" spans="2:2">
      <c r="B76" s="47" t="s">
        <v>71</v>
      </c>
    </row>
    <row r="77" spans="2:2">
      <c r="B77" s="47" t="s">
        <v>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296AB"/>
  </sheetPr>
  <dimension ref="A1:K70"/>
  <sheetViews>
    <sheetView showGridLines="0" tabSelected="1" workbookViewId="0">
      <pane ySplit="5" topLeftCell="A6" activePane="bottomLeft" state="frozen"/>
      <selection/>
      <selection pane="bottomLeft" activeCell="E6" sqref="E6"/>
    </sheetView>
  </sheetViews>
  <sheetFormatPr defaultColWidth="9" defaultRowHeight="16.8"/>
  <cols>
    <col min="1" max="1" width="3" customWidth="1"/>
    <col min="2" max="2" width="15.9264705882353" customWidth="1"/>
    <col min="3" max="3" width="18.75" customWidth="1"/>
    <col min="4" max="4" width="31.6176470588235" customWidth="1"/>
    <col min="5" max="5" width="33.2058823529412" customWidth="1"/>
    <col min="6" max="8" width="17" customWidth="1"/>
    <col min="9" max="9" width="3" customWidth="1"/>
    <col min="10" max="10" width="90" customWidth="1"/>
  </cols>
  <sheetData>
    <row r="1" ht="29" customHeight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9" customHeight="1" spans="1:11">
      <c r="A2" s="1"/>
      <c r="B2" s="2" t="s">
        <v>73</v>
      </c>
      <c r="C2" s="1"/>
      <c r="D2" s="1"/>
      <c r="E2" s="1"/>
      <c r="F2" s="1"/>
      <c r="G2" s="1"/>
      <c r="H2" s="1"/>
      <c r="I2" s="1"/>
      <c r="J2" s="1"/>
      <c r="K2" s="1"/>
    </row>
    <row r="3" ht="29" customHeight="1" spans="1:11">
      <c r="A3" s="1"/>
      <c r="B3" s="1" t="s">
        <v>74</v>
      </c>
      <c r="C3" s="1"/>
      <c r="D3" s="1"/>
      <c r="E3" s="1"/>
      <c r="F3" s="1"/>
      <c r="G3" s="1"/>
      <c r="H3" s="1"/>
      <c r="I3" s="1"/>
      <c r="J3" s="1"/>
      <c r="K3" s="1"/>
    </row>
    <row r="4" ht="29" customHeight="1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32" customHeight="1" spans="1:11">
      <c r="A5" s="1"/>
      <c r="B5" s="5" t="s">
        <v>75</v>
      </c>
      <c r="C5" s="5" t="s">
        <v>76</v>
      </c>
      <c r="D5" s="5" t="s">
        <v>77</v>
      </c>
      <c r="E5" s="5" t="s">
        <v>78</v>
      </c>
      <c r="F5" s="1"/>
      <c r="G5" s="1"/>
      <c r="H5" s="1"/>
      <c r="I5" s="1"/>
      <c r="J5" s="1"/>
      <c r="K5" s="1"/>
    </row>
    <row r="6" ht="67" customHeight="1" spans="1:11">
      <c r="A6" s="1"/>
      <c r="B6" s="44" t="s">
        <v>79</v>
      </c>
      <c r="C6" s="44" t="s">
        <v>80</v>
      </c>
      <c r="D6" s="44" t="s">
        <v>81</v>
      </c>
      <c r="E6" s="45"/>
      <c r="F6" s="1"/>
      <c r="G6" s="1"/>
      <c r="H6" s="1"/>
      <c r="I6" s="1"/>
      <c r="J6" s="1"/>
      <c r="K6" s="1"/>
    </row>
    <row r="7" ht="67" customHeight="1" spans="1:11">
      <c r="A7" s="1"/>
      <c r="B7" s="44" t="s">
        <v>82</v>
      </c>
      <c r="C7" s="44" t="s">
        <v>83</v>
      </c>
      <c r="D7" s="44" t="s">
        <v>84</v>
      </c>
      <c r="E7" s="44" t="s">
        <v>85</v>
      </c>
      <c r="F7" s="1"/>
      <c r="G7" s="1"/>
      <c r="H7" s="1"/>
      <c r="I7" s="1"/>
      <c r="J7" s="1"/>
      <c r="K7" s="1"/>
    </row>
    <row r="8" ht="67" customHeight="1" spans="1:11">
      <c r="A8" s="1"/>
      <c r="B8" s="44" t="s">
        <v>86</v>
      </c>
      <c r="C8" s="44" t="s">
        <v>83</v>
      </c>
      <c r="D8" s="44" t="s">
        <v>87</v>
      </c>
      <c r="E8" s="44" t="s">
        <v>88</v>
      </c>
      <c r="F8" s="1"/>
      <c r="G8" s="1"/>
      <c r="H8" s="1"/>
      <c r="I8" s="1"/>
      <c r="J8" s="1"/>
      <c r="K8" s="1"/>
    </row>
    <row r="9" ht="67" customHeight="1" spans="1:11">
      <c r="A9" s="1"/>
      <c r="B9" s="44" t="s">
        <v>89</v>
      </c>
      <c r="C9" s="44" t="s">
        <v>83</v>
      </c>
      <c r="D9" s="44" t="s">
        <v>90</v>
      </c>
      <c r="E9" s="44" t="s">
        <v>91</v>
      </c>
      <c r="F9" s="1"/>
      <c r="G9" s="1"/>
      <c r="H9" s="1"/>
      <c r="I9" s="1"/>
      <c r="J9" s="1"/>
      <c r="K9" s="1"/>
    </row>
    <row r="10" ht="67" customHeight="1" spans="1:11">
      <c r="A10" s="1"/>
      <c r="B10" s="44" t="s">
        <v>92</v>
      </c>
      <c r="C10" s="44" t="s">
        <v>93</v>
      </c>
      <c r="D10" s="44" t="s">
        <v>94</v>
      </c>
      <c r="E10" s="44" t="s">
        <v>95</v>
      </c>
      <c r="F10" s="1"/>
      <c r="G10" s="1"/>
      <c r="H10" s="1"/>
      <c r="I10" s="1"/>
      <c r="J10" s="1"/>
      <c r="K10" s="1"/>
    </row>
    <row r="11" ht="67" customHeight="1" spans="1:11">
      <c r="A11" s="1"/>
      <c r="B11" s="44" t="s">
        <v>96</v>
      </c>
      <c r="C11" s="44" t="s">
        <v>97</v>
      </c>
      <c r="D11" s="44" t="s">
        <v>98</v>
      </c>
      <c r="E11" s="44" t="s">
        <v>99</v>
      </c>
      <c r="F11" s="1"/>
      <c r="G11" s="1"/>
      <c r="H11" s="1"/>
      <c r="I11" s="1"/>
      <c r="J11" s="1"/>
      <c r="K11" s="1"/>
    </row>
    <row r="12" ht="67" customHeight="1" spans="1:11">
      <c r="A12" s="1"/>
      <c r="B12" s="44" t="s">
        <v>100</v>
      </c>
      <c r="C12" s="44" t="s">
        <v>101</v>
      </c>
      <c r="D12" s="44" t="s">
        <v>102</v>
      </c>
      <c r="E12" s="44" t="s">
        <v>103</v>
      </c>
      <c r="F12" s="1"/>
      <c r="G12" s="1"/>
      <c r="H12" s="1"/>
      <c r="I12" s="1"/>
      <c r="J12" s="1"/>
      <c r="K12" s="1"/>
    </row>
    <row r="13" ht="67" customHeight="1" spans="1:11">
      <c r="A13" s="1"/>
      <c r="B13" s="44" t="s">
        <v>104</v>
      </c>
      <c r="C13" s="44" t="s">
        <v>101</v>
      </c>
      <c r="D13" s="44" t="s">
        <v>105</v>
      </c>
      <c r="E13" s="44" t="s">
        <v>106</v>
      </c>
      <c r="F13" s="1"/>
      <c r="G13" s="1"/>
      <c r="H13" s="1"/>
      <c r="I13" s="1"/>
      <c r="J13" s="1"/>
      <c r="K13" s="1"/>
    </row>
    <row r="14" ht="67" customHeight="1" spans="1:11">
      <c r="A14" s="1"/>
      <c r="B14" s="44" t="s">
        <v>107</v>
      </c>
      <c r="C14" s="44" t="s">
        <v>101</v>
      </c>
      <c r="D14" s="44" t="s">
        <v>108</v>
      </c>
      <c r="E14" s="44" t="s">
        <v>109</v>
      </c>
      <c r="F14" s="1"/>
      <c r="G14" s="1"/>
      <c r="H14" s="1"/>
      <c r="I14" s="1"/>
      <c r="J14" s="1"/>
      <c r="K14" s="1"/>
    </row>
    <row r="15" ht="67" customHeight="1" spans="1:11">
      <c r="A15" s="1"/>
      <c r="B15" s="44" t="s">
        <v>110</v>
      </c>
      <c r="C15" s="44" t="s">
        <v>101</v>
      </c>
      <c r="D15" s="44" t="s">
        <v>111</v>
      </c>
      <c r="E15" s="44" t="s">
        <v>112</v>
      </c>
      <c r="F15" s="1"/>
      <c r="G15" s="1"/>
      <c r="H15" s="1"/>
      <c r="I15" s="1"/>
      <c r="J15" s="1"/>
      <c r="K15" s="1"/>
    </row>
    <row r="16" ht="67" customHeight="1" spans="1:11">
      <c r="A16" s="1"/>
      <c r="B16" s="44" t="s">
        <v>113</v>
      </c>
      <c r="C16" s="44" t="s">
        <v>114</v>
      </c>
      <c r="D16" s="44" t="s">
        <v>115</v>
      </c>
      <c r="E16" s="44" t="s">
        <v>116</v>
      </c>
      <c r="F16" s="1"/>
      <c r="G16" s="1"/>
      <c r="H16" s="1"/>
      <c r="I16" s="1"/>
      <c r="J16" s="1"/>
      <c r="K16" s="1"/>
    </row>
    <row r="17" ht="67" customHeight="1" spans="1:11">
      <c r="A17" s="1"/>
      <c r="B17" s="44" t="s">
        <v>117</v>
      </c>
      <c r="C17" s="44" t="s">
        <v>118</v>
      </c>
      <c r="D17" s="44" t="s">
        <v>119</v>
      </c>
      <c r="E17" s="44" t="s">
        <v>120</v>
      </c>
      <c r="F17" s="1"/>
      <c r="G17" s="1"/>
      <c r="H17" s="1"/>
      <c r="I17" s="1"/>
      <c r="J17" s="1"/>
      <c r="K17" s="1"/>
    </row>
    <row r="18" ht="67" customHeight="1" spans="1:11">
      <c r="A18" s="1"/>
      <c r="B18" s="44" t="s">
        <v>121</v>
      </c>
      <c r="C18" s="44" t="s">
        <v>122</v>
      </c>
      <c r="D18" s="44" t="s">
        <v>123</v>
      </c>
      <c r="E18" s="44" t="s">
        <v>124</v>
      </c>
      <c r="F18" s="1"/>
      <c r="G18" s="1"/>
      <c r="H18" s="1"/>
      <c r="I18" s="1"/>
      <c r="J18" s="1"/>
      <c r="K18" s="1"/>
    </row>
    <row r="19" ht="67" customHeight="1" spans="1:11">
      <c r="A19" s="1"/>
      <c r="B19" s="44" t="s">
        <v>125</v>
      </c>
      <c r="C19" s="44" t="s">
        <v>122</v>
      </c>
      <c r="D19" s="44" t="s">
        <v>126</v>
      </c>
      <c r="E19" s="44" t="s">
        <v>127</v>
      </c>
      <c r="F19" s="1"/>
      <c r="G19" s="1"/>
      <c r="H19" s="1"/>
      <c r="I19" s="1"/>
      <c r="J19" s="1"/>
      <c r="K19" s="1"/>
    </row>
    <row r="20" ht="67" customHeight="1" spans="1:11">
      <c r="A20" s="1"/>
      <c r="B20" s="44" t="s">
        <v>128</v>
      </c>
      <c r="C20" s="44" t="s">
        <v>129</v>
      </c>
      <c r="D20" s="44" t="s">
        <v>130</v>
      </c>
      <c r="E20" s="44" t="s">
        <v>131</v>
      </c>
      <c r="F20" s="1"/>
      <c r="G20" s="1"/>
      <c r="H20" s="1"/>
      <c r="I20" s="1"/>
      <c r="J20" s="1"/>
      <c r="K20" s="1"/>
    </row>
    <row r="21" ht="67" customHeight="1" spans="1:11">
      <c r="A21" s="1"/>
      <c r="B21" s="44" t="s">
        <v>132</v>
      </c>
      <c r="C21" s="44" t="s">
        <v>118</v>
      </c>
      <c r="D21" s="44" t="s">
        <v>133</v>
      </c>
      <c r="E21" s="44" t="s">
        <v>134</v>
      </c>
      <c r="F21" s="1"/>
      <c r="G21" s="1"/>
      <c r="H21" s="1"/>
      <c r="I21" s="1"/>
      <c r="J21" s="1"/>
      <c r="K21" s="1"/>
    </row>
    <row r="22" ht="67" customHeight="1" spans="1:11">
      <c r="A22" s="1"/>
      <c r="B22" s="44" t="s">
        <v>135</v>
      </c>
      <c r="C22" s="44" t="s">
        <v>136</v>
      </c>
      <c r="D22" s="44" t="s">
        <v>137</v>
      </c>
      <c r="E22" s="44" t="s">
        <v>138</v>
      </c>
      <c r="F22" s="1"/>
      <c r="G22" s="1"/>
      <c r="H22" s="1"/>
      <c r="I22" s="1"/>
      <c r="J22" s="1"/>
      <c r="K22" s="1"/>
    </row>
    <row r="23" ht="67" customHeight="1" spans="1:11">
      <c r="A23" s="1"/>
      <c r="B23" s="44" t="s">
        <v>139</v>
      </c>
      <c r="C23" s="44" t="s">
        <v>136</v>
      </c>
      <c r="D23" s="44" t="s">
        <v>140</v>
      </c>
      <c r="E23" s="44" t="s">
        <v>141</v>
      </c>
      <c r="F23" s="1"/>
      <c r="G23" s="1"/>
      <c r="H23" s="1"/>
      <c r="I23" s="1"/>
      <c r="J23" s="1"/>
      <c r="K23" s="1"/>
    </row>
    <row r="24" ht="67" customHeight="1" spans="1:11">
      <c r="A24" s="1"/>
      <c r="B24" s="44" t="s">
        <v>142</v>
      </c>
      <c r="C24" s="44" t="s">
        <v>136</v>
      </c>
      <c r="D24" s="44" t="s">
        <v>143</v>
      </c>
      <c r="E24" s="44" t="s">
        <v>144</v>
      </c>
      <c r="F24" s="1"/>
      <c r="G24" s="1"/>
      <c r="H24" s="1"/>
      <c r="I24" s="1"/>
      <c r="J24" s="1"/>
      <c r="K24" s="1"/>
    </row>
    <row r="25" ht="67" customHeight="1" spans="1:11">
      <c r="A25" s="1"/>
      <c r="B25" s="44" t="s">
        <v>145</v>
      </c>
      <c r="C25" s="44" t="s">
        <v>93</v>
      </c>
      <c r="D25" s="44" t="s">
        <v>146</v>
      </c>
      <c r="E25" s="44" t="s">
        <v>147</v>
      </c>
      <c r="F25" s="1"/>
      <c r="G25" s="1"/>
      <c r="H25" s="1"/>
      <c r="I25" s="1"/>
      <c r="J25" s="1"/>
      <c r="K25" s="1"/>
    </row>
    <row r="26" ht="67" customHeight="1" spans="1:11">
      <c r="A26" s="1"/>
      <c r="B26" s="44" t="s">
        <v>148</v>
      </c>
      <c r="C26" s="44" t="s">
        <v>149</v>
      </c>
      <c r="D26" s="44" t="s">
        <v>150</v>
      </c>
      <c r="E26" s="44" t="s">
        <v>151</v>
      </c>
      <c r="F26" s="1"/>
      <c r="G26" s="1"/>
      <c r="H26" s="1"/>
      <c r="I26" s="1"/>
      <c r="J26" s="1"/>
      <c r="K26" s="1"/>
    </row>
    <row r="27" ht="67" customHeight="1" spans="1:11">
      <c r="A27" s="1"/>
      <c r="B27" s="44" t="s">
        <v>152</v>
      </c>
      <c r="C27" s="44" t="s">
        <v>153</v>
      </c>
      <c r="D27" s="44" t="s">
        <v>154</v>
      </c>
      <c r="E27" s="44" t="s">
        <v>155</v>
      </c>
      <c r="F27" s="1"/>
      <c r="G27" s="1"/>
      <c r="H27" s="1"/>
      <c r="I27" s="1"/>
      <c r="J27" s="1"/>
      <c r="K27" s="1"/>
    </row>
    <row r="28" ht="29" customHeight="1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29" customHeight="1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29" customHeight="1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32" customHeight="1" spans="1:11">
      <c r="A31" s="1"/>
      <c r="B31" s="5" t="s">
        <v>156</v>
      </c>
      <c r="C31" s="5" t="s">
        <v>157</v>
      </c>
      <c r="D31" s="5" t="s">
        <v>158</v>
      </c>
      <c r="E31" s="5" t="s">
        <v>159</v>
      </c>
      <c r="F31" s="1"/>
      <c r="G31" s="1"/>
      <c r="H31" s="1"/>
      <c r="I31" s="1"/>
      <c r="J31" s="1"/>
      <c r="K31" s="1"/>
    </row>
    <row r="32" ht="55" customHeight="1" spans="1:11">
      <c r="A32" s="1"/>
      <c r="B32" s="44" t="s">
        <v>160</v>
      </c>
      <c r="C32" s="44" t="s">
        <v>161</v>
      </c>
      <c r="D32" s="44" t="s">
        <v>162</v>
      </c>
      <c r="E32" s="44" t="s">
        <v>163</v>
      </c>
      <c r="F32" s="1"/>
      <c r="G32" s="1"/>
      <c r="H32" s="1"/>
      <c r="I32" s="1"/>
      <c r="J32" s="1"/>
      <c r="K32" s="1"/>
    </row>
    <row r="33" ht="55" customHeight="1" spans="1:11">
      <c r="A33" s="1"/>
      <c r="B33" s="44" t="s">
        <v>164</v>
      </c>
      <c r="C33" s="44" t="s">
        <v>165</v>
      </c>
      <c r="D33" s="44" t="s">
        <v>166</v>
      </c>
      <c r="E33" s="44" t="s">
        <v>167</v>
      </c>
      <c r="F33" s="1"/>
      <c r="G33" s="1"/>
      <c r="H33" s="1"/>
      <c r="I33" s="1"/>
      <c r="J33" s="1"/>
      <c r="K33" s="1"/>
    </row>
    <row r="34" ht="55" customHeight="1" spans="1:11">
      <c r="A34" s="1"/>
      <c r="B34" s="44" t="s">
        <v>168</v>
      </c>
      <c r="C34" s="44" t="s">
        <v>86</v>
      </c>
      <c r="D34" s="44" t="s">
        <v>169</v>
      </c>
      <c r="E34" s="44" t="s">
        <v>170</v>
      </c>
      <c r="F34" s="1"/>
      <c r="G34" s="1"/>
      <c r="H34" s="1"/>
      <c r="I34" s="1"/>
      <c r="J34" s="1"/>
      <c r="K34" s="1"/>
    </row>
    <row r="35" ht="55" customHeight="1" spans="1:11">
      <c r="A35" s="1"/>
      <c r="B35" s="44" t="s">
        <v>171</v>
      </c>
      <c r="C35" s="44" t="s">
        <v>172</v>
      </c>
      <c r="D35" s="44" t="s">
        <v>173</v>
      </c>
      <c r="E35" s="44" t="s">
        <v>174</v>
      </c>
      <c r="F35" s="1"/>
      <c r="G35" s="1"/>
      <c r="H35" s="1"/>
      <c r="I35" s="1"/>
      <c r="J35" s="1"/>
      <c r="K35" s="1"/>
    </row>
    <row r="36" ht="55" customHeight="1" spans="1:11">
      <c r="A36" s="1"/>
      <c r="B36" s="44" t="s">
        <v>175</v>
      </c>
      <c r="C36" s="44" t="s">
        <v>89</v>
      </c>
      <c r="D36" s="44" t="s">
        <v>176</v>
      </c>
      <c r="E36" s="44" t="s">
        <v>177</v>
      </c>
      <c r="F36" s="1"/>
      <c r="G36" s="1"/>
      <c r="H36" s="1"/>
      <c r="I36" s="1"/>
      <c r="J36" s="1"/>
      <c r="K36" s="1"/>
    </row>
    <row r="37" ht="55" customHeight="1" spans="1:11">
      <c r="A37" s="1"/>
      <c r="B37" s="44" t="s">
        <v>178</v>
      </c>
      <c r="C37" s="44" t="s">
        <v>179</v>
      </c>
      <c r="D37" s="44" t="s">
        <v>180</v>
      </c>
      <c r="E37" s="44" t="s">
        <v>181</v>
      </c>
      <c r="F37" s="1"/>
      <c r="G37" s="1"/>
      <c r="H37" s="1"/>
      <c r="I37" s="1"/>
      <c r="J37" s="1"/>
      <c r="K37" s="1"/>
    </row>
    <row r="38" ht="29" customHeight="1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29" customHeight="1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29" customHeight="1" spans="1:11">
      <c r="A40" s="1"/>
      <c r="B40" s="1" t="s">
        <v>182</v>
      </c>
      <c r="C40" s="1" t="s">
        <v>183</v>
      </c>
      <c r="D40" s="1"/>
      <c r="E40" s="1"/>
      <c r="F40" s="1"/>
      <c r="G40" s="1"/>
      <c r="H40" s="1"/>
      <c r="I40" s="1"/>
      <c r="J40" s="1"/>
      <c r="K40" s="1"/>
    </row>
    <row r="41" ht="29" customHeight="1" spans="1:11">
      <c r="A41" s="1"/>
      <c r="B41" s="1" t="s">
        <v>65</v>
      </c>
      <c r="C41" s="1" t="s">
        <v>184</v>
      </c>
      <c r="D41" s="1"/>
      <c r="E41" s="1"/>
      <c r="F41" s="1"/>
      <c r="G41" s="1"/>
      <c r="H41" s="1"/>
      <c r="I41" s="1"/>
      <c r="J41" s="1"/>
      <c r="K41" s="1"/>
    </row>
    <row r="42" ht="29" customHeight="1" spans="1:11">
      <c r="A42" s="1"/>
      <c r="B42" s="1" t="s">
        <v>185</v>
      </c>
      <c r="C42" s="1" t="s">
        <v>186</v>
      </c>
      <c r="D42" s="1"/>
      <c r="E42" s="1"/>
      <c r="F42" s="1"/>
      <c r="G42" s="1"/>
      <c r="H42" s="1"/>
      <c r="I42" s="1"/>
      <c r="J42" s="1"/>
      <c r="K42" s="1"/>
    </row>
    <row r="43" ht="29" customHeight="1" spans="1:11">
      <c r="A43" s="1"/>
      <c r="B43" s="1" t="s">
        <v>187</v>
      </c>
      <c r="C43" s="1" t="s">
        <v>188</v>
      </c>
      <c r="D43" s="1"/>
      <c r="E43" s="1"/>
      <c r="F43" s="1"/>
      <c r="G43" s="1"/>
      <c r="H43" s="1"/>
      <c r="I43" s="1"/>
      <c r="J43" s="1"/>
      <c r="K43" s="1"/>
    </row>
    <row r="44" ht="29" customHeight="1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29" customHeight="1" spans="1:11">
      <c r="A45" s="1"/>
      <c r="B45" s="1" t="s">
        <v>189</v>
      </c>
      <c r="C45" s="1" t="s">
        <v>190</v>
      </c>
      <c r="D45" s="1"/>
      <c r="E45" s="1"/>
      <c r="F45" s="1"/>
      <c r="G45" s="1"/>
      <c r="H45" s="1"/>
      <c r="I45" s="1"/>
      <c r="J45" s="1"/>
      <c r="K45" s="1"/>
    </row>
    <row r="46" ht="29" customHeight="1" spans="1:11">
      <c r="A46" s="1"/>
      <c r="B46" s="1" t="s">
        <v>191</v>
      </c>
      <c r="C46" s="1" t="s">
        <v>192</v>
      </c>
      <c r="D46" s="1"/>
      <c r="E46" s="1"/>
      <c r="F46" s="1"/>
      <c r="G46" s="1"/>
      <c r="H46" s="1"/>
      <c r="I46" s="1"/>
      <c r="J46" s="1"/>
      <c r="K46" s="1"/>
    </row>
    <row r="47" ht="29" customHeight="1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29" customHeight="1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29" customHeight="1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29" customHeight="1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29" customHeight="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29" customHeight="1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29" customHeight="1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29" customHeight="1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29" customHeight="1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29" customHeight="1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29" customHeight="1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29" customHeight="1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29" customHeight="1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29" customHeight="1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29" customHeight="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29" customHeight="1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29" customHeight="1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29" customHeight="1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29" customHeight="1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29" customHeight="1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29" customHeight="1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29" customHeight="1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29" customHeight="1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29" customHeight="1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</sheetData>
  <conditionalFormatting sqref="A1:K70">
    <cfRule type="containsErrors" dxfId="0" priority="1">
      <formula>ISERROR(A1)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296AB"/>
  </sheetPr>
  <dimension ref="A1:K70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6.8"/>
  <cols>
    <col min="1" max="1" width="3" customWidth="1"/>
    <col min="2" max="2" width="33" customWidth="1"/>
    <col min="3" max="3" width="17" customWidth="1"/>
    <col min="4" max="4" width="19" customWidth="1"/>
    <col min="5" max="5" width="3" customWidth="1"/>
    <col min="6" max="6" width="90" customWidth="1"/>
    <col min="7" max="7" width="3" customWidth="1"/>
    <col min="8" max="8" width="78" customWidth="1"/>
    <col min="9" max="9" width="3" customWidth="1"/>
    <col min="10" max="10" width="90" customWidth="1"/>
  </cols>
  <sheetData>
    <row r="1" ht="29" customHeight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9" customHeight="1" spans="1:11">
      <c r="A2" s="1"/>
      <c r="B2" s="2" t="s">
        <v>193</v>
      </c>
      <c r="C2" s="1"/>
      <c r="D2" s="1"/>
      <c r="E2" s="1"/>
      <c r="F2" s="1"/>
      <c r="G2" s="1"/>
      <c r="H2" s="1"/>
      <c r="I2" s="1"/>
      <c r="J2" s="1"/>
      <c r="K2" s="1"/>
    </row>
    <row r="3" ht="29" customHeight="1" spans="1:11">
      <c r="A3" s="1"/>
      <c r="B3" s="1" t="s">
        <v>194</v>
      </c>
      <c r="C3" s="1"/>
      <c r="D3" s="1"/>
      <c r="E3" s="1"/>
      <c r="F3" s="1"/>
      <c r="G3" s="1"/>
      <c r="H3" s="1"/>
      <c r="I3" s="1"/>
      <c r="J3" s="1"/>
      <c r="K3" s="1"/>
    </row>
    <row r="4" ht="29" customHeight="1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32" customHeight="1" spans="1:11">
      <c r="A5" s="1"/>
      <c r="B5" s="5" t="s">
        <v>195</v>
      </c>
      <c r="C5" s="5" t="s">
        <v>196</v>
      </c>
      <c r="D5" s="5" t="s">
        <v>197</v>
      </c>
      <c r="E5" s="1"/>
      <c r="F5" s="1" t="s">
        <v>198</v>
      </c>
      <c r="G5" s="1"/>
      <c r="H5" s="1" t="s">
        <v>199</v>
      </c>
      <c r="I5" s="1"/>
      <c r="J5" s="1"/>
      <c r="K5" s="1"/>
    </row>
    <row r="6" ht="29" customHeight="1" spans="1:11">
      <c r="A6" s="1"/>
      <c r="B6" s="1" t="s">
        <v>200</v>
      </c>
      <c r="C6" s="42">
        <v>7.2</v>
      </c>
      <c r="D6" s="1" t="s">
        <v>201</v>
      </c>
      <c r="E6" s="1"/>
      <c r="F6" s="1" t="s">
        <v>202</v>
      </c>
      <c r="G6" s="1"/>
      <c r="H6" s="1" t="s">
        <v>203</v>
      </c>
      <c r="I6" s="1"/>
      <c r="J6" s="1"/>
      <c r="K6" s="1"/>
    </row>
    <row r="7" ht="29" customHeight="1" spans="1:11">
      <c r="A7" s="1"/>
      <c r="B7" s="1" t="s">
        <v>165</v>
      </c>
      <c r="C7" s="42">
        <v>4</v>
      </c>
      <c r="D7" s="1" t="s">
        <v>204</v>
      </c>
      <c r="E7" s="1"/>
      <c r="F7" s="1" t="s">
        <v>205</v>
      </c>
      <c r="G7" s="1"/>
      <c r="H7" s="1" t="s">
        <v>206</v>
      </c>
      <c r="I7" s="1"/>
      <c r="J7" s="1"/>
      <c r="K7" s="1"/>
    </row>
    <row r="8" ht="29" customHeight="1" spans="1:11">
      <c r="A8" s="1"/>
      <c r="B8" s="1" t="s">
        <v>207</v>
      </c>
      <c r="C8" s="42">
        <v>4</v>
      </c>
      <c r="D8" s="1" t="s">
        <v>208</v>
      </c>
      <c r="E8" s="1"/>
      <c r="F8" s="1" t="s">
        <v>209</v>
      </c>
      <c r="G8" s="1"/>
      <c r="H8" s="1" t="s">
        <v>210</v>
      </c>
      <c r="I8" s="1"/>
      <c r="J8" s="1"/>
      <c r="K8" s="1"/>
    </row>
    <row r="9" ht="29" customHeight="1" spans="1:11">
      <c r="A9" s="1"/>
      <c r="B9" s="1" t="s">
        <v>211</v>
      </c>
      <c r="C9" s="42">
        <v>20</v>
      </c>
      <c r="D9" s="1" t="s">
        <v>208</v>
      </c>
      <c r="E9" s="1"/>
      <c r="F9" s="1" t="s">
        <v>212</v>
      </c>
      <c r="G9" s="1"/>
      <c r="H9" s="1" t="s">
        <v>210</v>
      </c>
      <c r="I9" s="1"/>
      <c r="J9" s="1"/>
      <c r="K9" s="1"/>
    </row>
    <row r="10" ht="29" customHeight="1" spans="1:11">
      <c r="A10" s="1"/>
      <c r="B10" s="1" t="s">
        <v>213</v>
      </c>
      <c r="C10" s="42">
        <v>10</v>
      </c>
      <c r="D10" s="1" t="s">
        <v>208</v>
      </c>
      <c r="E10" s="1"/>
      <c r="F10" s="1" t="s">
        <v>214</v>
      </c>
      <c r="G10" s="1"/>
      <c r="H10" s="1" t="s">
        <v>210</v>
      </c>
      <c r="I10" s="1"/>
      <c r="J10" s="1"/>
      <c r="K10" s="1"/>
    </row>
    <row r="11" ht="29" customHeight="1" spans="1:11">
      <c r="A11" s="1"/>
      <c r="B11" s="1" t="s">
        <v>215</v>
      </c>
      <c r="C11" s="42">
        <v>50</v>
      </c>
      <c r="D11" s="1" t="s">
        <v>208</v>
      </c>
      <c r="E11" s="1"/>
      <c r="F11" s="1" t="s">
        <v>212</v>
      </c>
      <c r="G11" s="1"/>
      <c r="H11" s="1" t="s">
        <v>210</v>
      </c>
      <c r="I11" s="1"/>
      <c r="J11" s="1"/>
      <c r="K11" s="1"/>
    </row>
    <row r="12" ht="29" customHeight="1" spans="1:11">
      <c r="A12" s="1"/>
      <c r="B12" s="1" t="s">
        <v>216</v>
      </c>
      <c r="C12" s="42">
        <v>272000</v>
      </c>
      <c r="D12" s="1" t="s">
        <v>217</v>
      </c>
      <c r="E12" s="1"/>
      <c r="F12" s="1" t="s">
        <v>218</v>
      </c>
      <c r="G12" s="1"/>
      <c r="H12" s="1" t="s">
        <v>210</v>
      </c>
      <c r="I12" s="1"/>
      <c r="J12" s="1"/>
      <c r="K12" s="1"/>
    </row>
    <row r="13" ht="29" customHeight="1" spans="1:11">
      <c r="A13" s="1"/>
      <c r="B13" s="1" t="s">
        <v>219</v>
      </c>
      <c r="C13" s="42">
        <v>2</v>
      </c>
      <c r="D13" s="1" t="s">
        <v>220</v>
      </c>
      <c r="E13" s="1"/>
      <c r="F13" s="1" t="s">
        <v>221</v>
      </c>
      <c r="G13" s="1"/>
      <c r="H13" s="1" t="s">
        <v>210</v>
      </c>
      <c r="I13" s="1"/>
      <c r="J13" s="1"/>
      <c r="K13" s="1"/>
    </row>
    <row r="14" ht="29" customHeight="1" spans="1:11">
      <c r="A14" s="1"/>
      <c r="B14" s="1" t="s">
        <v>222</v>
      </c>
      <c r="C14" s="42">
        <v>1.5</v>
      </c>
      <c r="D14" s="1" t="s">
        <v>220</v>
      </c>
      <c r="E14" s="1"/>
      <c r="F14" s="1" t="s">
        <v>223</v>
      </c>
      <c r="G14" s="1"/>
      <c r="H14" s="1" t="s">
        <v>210</v>
      </c>
      <c r="I14" s="1"/>
      <c r="J14" s="1"/>
      <c r="K14" s="1"/>
    </row>
    <row r="15" ht="29" customHeight="1" spans="1:11">
      <c r="A15" s="1"/>
      <c r="B15" s="1" t="s">
        <v>224</v>
      </c>
      <c r="C15" s="42">
        <v>1.2</v>
      </c>
      <c r="D15" s="1" t="s">
        <v>220</v>
      </c>
      <c r="E15" s="1"/>
      <c r="F15" s="1" t="s">
        <v>225</v>
      </c>
      <c r="G15" s="1"/>
      <c r="H15" s="1" t="s">
        <v>226</v>
      </c>
      <c r="I15" s="1"/>
      <c r="J15" s="1"/>
      <c r="K15" s="1"/>
    </row>
    <row r="16" ht="29" customHeight="1" spans="1:11">
      <c r="A16" s="1"/>
      <c r="B16" s="1" t="s">
        <v>227</v>
      </c>
      <c r="C16" s="42">
        <v>2500</v>
      </c>
      <c r="D16" s="1" t="s">
        <v>228</v>
      </c>
      <c r="E16" s="1"/>
      <c r="F16" s="1" t="s">
        <v>229</v>
      </c>
      <c r="G16" s="1"/>
      <c r="H16" s="1" t="s">
        <v>226</v>
      </c>
      <c r="I16" s="1"/>
      <c r="J16" s="1"/>
      <c r="K16" s="1"/>
    </row>
    <row r="17" ht="29" customHeight="1" spans="1:11">
      <c r="A17" s="1"/>
      <c r="B17" s="1" t="s">
        <v>230</v>
      </c>
      <c r="C17" s="42">
        <v>1024</v>
      </c>
      <c r="D17" s="1" t="s">
        <v>228</v>
      </c>
      <c r="E17" s="1"/>
      <c r="F17" s="1" t="s">
        <v>231</v>
      </c>
      <c r="G17" s="1"/>
      <c r="H17" s="1" t="s">
        <v>226</v>
      </c>
      <c r="I17" s="1"/>
      <c r="J17" s="1"/>
      <c r="K17" s="1"/>
    </row>
    <row r="18" ht="29" customHeight="1" spans="1:11">
      <c r="A18" s="1"/>
      <c r="B18" s="1" t="s">
        <v>232</v>
      </c>
      <c r="C18" s="42">
        <v>1</v>
      </c>
      <c r="D18" s="1" t="s">
        <v>233</v>
      </c>
      <c r="E18" s="1"/>
      <c r="F18" s="1" t="s">
        <v>234</v>
      </c>
      <c r="G18" s="1"/>
      <c r="H18" s="1" t="s">
        <v>235</v>
      </c>
      <c r="I18" s="1"/>
      <c r="J18" s="1"/>
      <c r="K18" s="1"/>
    </row>
    <row r="19" ht="29" customHeight="1" spans="1:11">
      <c r="A19" s="1"/>
      <c r="B19" s="1" t="s">
        <v>236</v>
      </c>
      <c r="C19" s="42">
        <v>4</v>
      </c>
      <c r="D19" s="1" t="s">
        <v>233</v>
      </c>
      <c r="E19" s="1"/>
      <c r="F19" s="1" t="s">
        <v>237</v>
      </c>
      <c r="G19" s="1"/>
      <c r="H19" s="1" t="s">
        <v>235</v>
      </c>
      <c r="I19" s="1"/>
      <c r="J19" s="1"/>
      <c r="K19" s="1"/>
    </row>
    <row r="20" ht="29" customHeight="1" spans="1:11">
      <c r="A20" s="1"/>
      <c r="B20" s="1" t="s">
        <v>238</v>
      </c>
      <c r="C20" s="43">
        <v>1</v>
      </c>
      <c r="D20" s="1" t="s">
        <v>239</v>
      </c>
      <c r="E20" s="1"/>
      <c r="F20" s="1" t="s">
        <v>240</v>
      </c>
      <c r="G20" s="1"/>
      <c r="H20" s="1" t="s">
        <v>235</v>
      </c>
      <c r="I20" s="1"/>
      <c r="J20" s="1"/>
      <c r="K20" s="1"/>
    </row>
    <row r="21" ht="29" customHeight="1" spans="1:11">
      <c r="A21" s="1"/>
      <c r="B21" s="1" t="s">
        <v>241</v>
      </c>
      <c r="C21" s="42">
        <v>500</v>
      </c>
      <c r="D21" s="1" t="s">
        <v>242</v>
      </c>
      <c r="E21" s="1"/>
      <c r="F21" s="1" t="s">
        <v>243</v>
      </c>
      <c r="G21" s="1"/>
      <c r="H21" s="1" t="s">
        <v>244</v>
      </c>
      <c r="I21" s="1"/>
      <c r="J21" s="1"/>
      <c r="K21" s="1"/>
    </row>
    <row r="22" ht="29" customHeight="1" spans="1:11">
      <c r="A22" s="1"/>
      <c r="B22" s="1" t="s">
        <v>245</v>
      </c>
      <c r="C22" s="42">
        <v>1</v>
      </c>
      <c r="D22" s="1" t="s">
        <v>246</v>
      </c>
      <c r="E22" s="1"/>
      <c r="F22" s="1" t="s">
        <v>247</v>
      </c>
      <c r="G22" s="1"/>
      <c r="H22" s="1" t="s">
        <v>244</v>
      </c>
      <c r="I22" s="1"/>
      <c r="J22" s="1"/>
      <c r="K22" s="1"/>
    </row>
    <row r="23" ht="29" customHeight="1" spans="1:11">
      <c r="A23" s="1"/>
      <c r="B23" s="1" t="s">
        <v>248</v>
      </c>
      <c r="C23" s="42">
        <v>8</v>
      </c>
      <c r="D23" s="1" t="s">
        <v>249</v>
      </c>
      <c r="E23" s="1"/>
      <c r="F23" s="1" t="s">
        <v>250</v>
      </c>
      <c r="G23" s="1"/>
      <c r="H23" s="1" t="s">
        <v>244</v>
      </c>
      <c r="I23" s="1"/>
      <c r="J23" s="1"/>
      <c r="K23" s="1"/>
    </row>
    <row r="24" ht="29" customHeight="1" spans="1:11">
      <c r="A24" s="1"/>
      <c r="B24" s="1" t="s">
        <v>251</v>
      </c>
      <c r="C24" s="42">
        <v>1</v>
      </c>
      <c r="D24" s="1" t="s">
        <v>249</v>
      </c>
      <c r="E24" s="1"/>
      <c r="F24" s="1" t="s">
        <v>252</v>
      </c>
      <c r="G24" s="1"/>
      <c r="H24" s="1" t="s">
        <v>253</v>
      </c>
      <c r="I24" s="1"/>
      <c r="J24" s="1"/>
      <c r="K24" s="1"/>
    </row>
    <row r="25" ht="29" customHeight="1" spans="1:11">
      <c r="A25" s="1"/>
      <c r="B25" s="1" t="s">
        <v>254</v>
      </c>
      <c r="C25" s="42">
        <v>500</v>
      </c>
      <c r="D25" s="1" t="s">
        <v>242</v>
      </c>
      <c r="E25" s="1"/>
      <c r="F25" s="1" t="s">
        <v>255</v>
      </c>
      <c r="G25" s="1"/>
      <c r="H25" s="1" t="s">
        <v>244</v>
      </c>
      <c r="I25" s="1"/>
      <c r="J25" s="1"/>
      <c r="K25" s="1"/>
    </row>
    <row r="26" ht="29" customHeight="1" spans="1:11">
      <c r="A26" s="1"/>
      <c r="B26" s="1" t="s">
        <v>256</v>
      </c>
      <c r="C26" s="42">
        <v>1</v>
      </c>
      <c r="D26" s="1" t="s">
        <v>246</v>
      </c>
      <c r="E26" s="1"/>
      <c r="F26" s="1" t="s">
        <v>257</v>
      </c>
      <c r="G26" s="1"/>
      <c r="H26" s="1" t="s">
        <v>244</v>
      </c>
      <c r="I26" s="1"/>
      <c r="J26" s="1"/>
      <c r="K26" s="1"/>
    </row>
    <row r="27" ht="29" customHeight="1" spans="1:11">
      <c r="A27" s="1"/>
      <c r="B27" s="1" t="s">
        <v>258</v>
      </c>
      <c r="C27" s="42">
        <v>1</v>
      </c>
      <c r="D27" s="1" t="s">
        <v>249</v>
      </c>
      <c r="E27" s="1"/>
      <c r="F27" s="1" t="s">
        <v>259</v>
      </c>
      <c r="G27" s="1"/>
      <c r="H27" s="1" t="s">
        <v>244</v>
      </c>
      <c r="I27" s="1"/>
      <c r="J27" s="1"/>
      <c r="K27" s="1"/>
    </row>
    <row r="28" ht="29" customHeight="1" spans="1:11">
      <c r="A28" s="1"/>
      <c r="B28" s="1" t="s">
        <v>260</v>
      </c>
      <c r="C28" s="42">
        <v>1</v>
      </c>
      <c r="D28" s="1" t="s">
        <v>249</v>
      </c>
      <c r="E28" s="1"/>
      <c r="F28" s="1" t="s">
        <v>261</v>
      </c>
      <c r="G28" s="1"/>
      <c r="H28" s="1" t="s">
        <v>244</v>
      </c>
      <c r="I28" s="1"/>
      <c r="J28" s="1"/>
      <c r="K28" s="1"/>
    </row>
    <row r="29" ht="29" customHeight="1" spans="1:11">
      <c r="A29" s="1"/>
      <c r="B29" s="1" t="s">
        <v>262</v>
      </c>
      <c r="C29" s="43">
        <v>0.1</v>
      </c>
      <c r="D29" s="1" t="s">
        <v>239</v>
      </c>
      <c r="E29" s="1"/>
      <c r="F29" s="1" t="s">
        <v>263</v>
      </c>
      <c r="G29" s="1"/>
      <c r="H29" s="1" t="s">
        <v>264</v>
      </c>
      <c r="I29" s="1"/>
      <c r="J29" s="1"/>
      <c r="K29" s="1"/>
    </row>
    <row r="30" ht="29" customHeight="1" spans="1:11">
      <c r="A30" s="1"/>
      <c r="B30" s="1" t="s">
        <v>265</v>
      </c>
      <c r="C30" s="43">
        <v>1</v>
      </c>
      <c r="D30" s="1" t="s">
        <v>239</v>
      </c>
      <c r="E30" s="1"/>
      <c r="F30" s="1" t="s">
        <v>266</v>
      </c>
      <c r="G30" s="1"/>
      <c r="H30" s="1" t="s">
        <v>267</v>
      </c>
      <c r="I30" s="1"/>
      <c r="J30" s="1"/>
      <c r="K30" s="1"/>
    </row>
    <row r="31" ht="29" customHeight="1" spans="1:11">
      <c r="A31" s="1"/>
      <c r="B31" s="1" t="s">
        <v>268</v>
      </c>
      <c r="C31" s="42">
        <v>50000</v>
      </c>
      <c r="D31" s="1" t="s">
        <v>269</v>
      </c>
      <c r="E31" s="1"/>
      <c r="F31" s="1" t="s">
        <v>270</v>
      </c>
      <c r="G31" s="1"/>
      <c r="H31" s="1" t="s">
        <v>271</v>
      </c>
      <c r="I31" s="1"/>
      <c r="J31" s="1"/>
      <c r="K31" s="1"/>
    </row>
    <row r="32" ht="29" customHeight="1" spans="1:11">
      <c r="A32" s="1"/>
      <c r="B32" s="1" t="s">
        <v>272</v>
      </c>
      <c r="C32" s="42">
        <v>4000</v>
      </c>
      <c r="D32" s="1" t="s">
        <v>269</v>
      </c>
      <c r="E32" s="1"/>
      <c r="F32" s="1" t="s">
        <v>273</v>
      </c>
      <c r="G32" s="1"/>
      <c r="H32" s="1" t="s">
        <v>271</v>
      </c>
      <c r="I32" s="1"/>
      <c r="J32" s="1"/>
      <c r="K32" s="1"/>
    </row>
    <row r="33" ht="29" customHeight="1" spans="1:11">
      <c r="A33" s="1"/>
      <c r="B33" s="1" t="s">
        <v>274</v>
      </c>
      <c r="C33" s="42">
        <v>30000</v>
      </c>
      <c r="D33" s="1" t="s">
        <v>269</v>
      </c>
      <c r="E33" s="1"/>
      <c r="F33" s="1" t="s">
        <v>275</v>
      </c>
      <c r="G33" s="1"/>
      <c r="H33" s="1" t="s">
        <v>271</v>
      </c>
      <c r="I33" s="1"/>
      <c r="J33" s="1"/>
      <c r="K33" s="1"/>
    </row>
    <row r="34" ht="29" customHeight="1" spans="1:11">
      <c r="A34" s="1"/>
      <c r="B34" s="1" t="s">
        <v>276</v>
      </c>
      <c r="C34" s="42">
        <v>4000</v>
      </c>
      <c r="D34" s="1" t="s">
        <v>269</v>
      </c>
      <c r="E34" s="1"/>
      <c r="F34" s="1" t="s">
        <v>277</v>
      </c>
      <c r="G34" s="1"/>
      <c r="H34" s="1" t="s">
        <v>271</v>
      </c>
      <c r="I34" s="1"/>
      <c r="J34" s="1"/>
      <c r="K34" s="1"/>
    </row>
    <row r="35" ht="29" customHeight="1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29" customHeight="1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29" customHeight="1" spans="1:11">
      <c r="A37" s="1"/>
      <c r="B37" s="1" t="s">
        <v>278</v>
      </c>
      <c r="C37" s="1"/>
      <c r="D37" s="1"/>
      <c r="E37" s="1"/>
      <c r="F37" s="1" t="s">
        <v>279</v>
      </c>
      <c r="G37" s="1"/>
      <c r="H37" s="1"/>
      <c r="I37" s="1"/>
      <c r="J37" s="1"/>
      <c r="K37" s="1"/>
    </row>
    <row r="38" ht="29" customHeight="1" spans="1:11">
      <c r="A38" s="1"/>
      <c r="B38" s="1" t="s">
        <v>280</v>
      </c>
      <c r="C38" s="1"/>
      <c r="D38" s="1"/>
      <c r="E38" s="1"/>
      <c r="F38" s="1" t="s">
        <v>281</v>
      </c>
      <c r="G38" s="1"/>
      <c r="H38" s="1"/>
      <c r="I38" s="1"/>
      <c r="J38" s="1"/>
      <c r="K38" s="1"/>
    </row>
    <row r="39" ht="29" customHeight="1" spans="1:11">
      <c r="A39" s="1"/>
      <c r="B39" s="1" t="s">
        <v>282</v>
      </c>
      <c r="C39" s="1"/>
      <c r="D39" s="1"/>
      <c r="E39" s="1"/>
      <c r="F39" s="1" t="s">
        <v>283</v>
      </c>
      <c r="G39" s="1"/>
      <c r="H39" s="1"/>
      <c r="I39" s="1"/>
      <c r="J39" s="1"/>
      <c r="K39" s="1"/>
    </row>
    <row r="40" ht="29" customHeight="1" spans="1:11">
      <c r="A40" s="1"/>
      <c r="B40" s="1" t="s">
        <v>284</v>
      </c>
      <c r="C40" s="1"/>
      <c r="D40" s="1"/>
      <c r="E40" s="1"/>
      <c r="F40" s="1" t="s">
        <v>285</v>
      </c>
      <c r="G40" s="1"/>
      <c r="H40" s="1"/>
      <c r="I40" s="1"/>
      <c r="J40" s="1"/>
      <c r="K40" s="1"/>
    </row>
    <row r="41" ht="29" customHeight="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29" customHeight="1" spans="1:11">
      <c r="A42" s="1"/>
      <c r="B42" s="1" t="s">
        <v>286</v>
      </c>
      <c r="C42" s="1"/>
      <c r="D42" s="1"/>
      <c r="E42" s="1"/>
      <c r="F42" s="1" t="s">
        <v>287</v>
      </c>
      <c r="G42" s="1"/>
      <c r="H42" s="1"/>
      <c r="I42" s="1"/>
      <c r="J42" s="1"/>
      <c r="K42" s="1"/>
    </row>
    <row r="43" ht="29" customHeight="1" spans="1:11">
      <c r="A43" s="1"/>
      <c r="B43" s="1" t="s">
        <v>288</v>
      </c>
      <c r="C43" s="1"/>
      <c r="D43" s="1"/>
      <c r="E43" s="1"/>
      <c r="F43" s="1" t="s">
        <v>289</v>
      </c>
      <c r="G43" s="1"/>
      <c r="H43" s="1"/>
      <c r="I43" s="1"/>
      <c r="J43" s="1"/>
      <c r="K43" s="1"/>
    </row>
    <row r="44" ht="29" customHeight="1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29" customHeight="1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29" customHeight="1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29" customHeight="1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29" customHeight="1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29" customHeight="1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29" customHeight="1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29" customHeight="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29" customHeight="1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29" customHeight="1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29" customHeight="1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29" customHeight="1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29" customHeight="1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29" customHeight="1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29" customHeight="1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29" customHeight="1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29" customHeight="1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29" customHeight="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29" customHeight="1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29" customHeight="1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29" customHeight="1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29" customHeight="1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29" customHeight="1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29" customHeight="1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29" customHeight="1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29" customHeight="1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29" customHeight="1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</sheetData>
  <conditionalFormatting sqref="A1:K70">
    <cfRule type="containsErrors" dxfId="0" priority="1">
      <formula>ISERROR(A1)</formula>
    </cfRule>
  </conditionalFormatting>
  <dataValidations count="1">
    <dataValidation type="decimal" operator="greaterThanOrEqual" sqref="C6:C34">
      <formula1>0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296AB"/>
  </sheetPr>
  <dimension ref="A1:K70"/>
  <sheetViews>
    <sheetView showGridLines="0" workbookViewId="0">
      <pane ySplit="7" topLeftCell="A13" activePane="bottomLeft" state="frozen"/>
      <selection/>
      <selection pane="bottomLeft" activeCell="A1" sqref="A1"/>
    </sheetView>
  </sheetViews>
  <sheetFormatPr defaultColWidth="9" defaultRowHeight="16.8"/>
  <cols>
    <col min="1" max="1" width="3" customWidth="1"/>
    <col min="2" max="2" width="29" customWidth="1"/>
    <col min="3" max="3" width="21" customWidth="1"/>
    <col min="4" max="8" width="18" customWidth="1"/>
    <col min="9" max="9" width="3" customWidth="1"/>
    <col min="10" max="10" width="90" customWidth="1"/>
  </cols>
  <sheetData>
    <row r="1" ht="29" customHeight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9" customHeight="1" spans="1:11">
      <c r="A2" s="1"/>
      <c r="B2" s="2" t="s">
        <v>290</v>
      </c>
      <c r="C2" s="1"/>
      <c r="D2" s="1"/>
      <c r="E2" s="1"/>
      <c r="F2" s="1"/>
      <c r="G2" s="1"/>
      <c r="H2" s="1"/>
      <c r="I2" s="1"/>
      <c r="J2" s="1"/>
      <c r="K2" s="1"/>
    </row>
    <row r="3" ht="29" customHeight="1" spans="1:11">
      <c r="A3" s="1"/>
      <c r="B3" s="1" t="s">
        <v>291</v>
      </c>
      <c r="C3" s="1"/>
      <c r="D3" s="1"/>
      <c r="E3" s="1"/>
      <c r="F3" s="1"/>
      <c r="G3" s="1"/>
      <c r="H3" s="1"/>
      <c r="I3" s="1"/>
      <c r="J3" s="1"/>
      <c r="K3" s="1"/>
    </row>
    <row r="4" ht="29" customHeight="1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9" customHeight="1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29" customHeight="1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32" customHeight="1" spans="1:11">
      <c r="A7" s="1"/>
      <c r="B7" s="5" t="s">
        <v>292</v>
      </c>
      <c r="C7" s="5" t="s">
        <v>293</v>
      </c>
      <c r="D7" s="5" t="s">
        <v>294</v>
      </c>
      <c r="E7" s="5" t="s">
        <v>295</v>
      </c>
      <c r="F7" s="5" t="s">
        <v>296</v>
      </c>
      <c r="G7" s="5" t="s">
        <v>297</v>
      </c>
      <c r="H7" s="5" t="s">
        <v>298</v>
      </c>
      <c r="I7" s="1"/>
      <c r="J7" s="1" t="s">
        <v>299</v>
      </c>
      <c r="K7" s="1"/>
    </row>
    <row r="8" ht="29" customHeight="1" spans="1:11">
      <c r="A8" s="1"/>
      <c r="B8" s="1" t="s">
        <v>165</v>
      </c>
      <c r="C8" s="1" t="s">
        <v>300</v>
      </c>
      <c r="D8" s="33">
        <f>API参数!C7</f>
        <v>4</v>
      </c>
      <c r="E8" s="37">
        <f>D23</f>
        <v>550</v>
      </c>
      <c r="F8" s="33">
        <f>E8/1000*D8*1*API参数!$C$6</f>
        <v>15.84</v>
      </c>
      <c r="G8" s="37">
        <f>F23</f>
        <v>550</v>
      </c>
      <c r="H8" s="33">
        <f>G8/1000*D8*1*API参数!$C$6</f>
        <v>15.84</v>
      </c>
      <c r="I8" s="1"/>
      <c r="J8" s="1" t="s">
        <v>301</v>
      </c>
      <c r="K8" s="1"/>
    </row>
    <row r="9" ht="29" customHeight="1" spans="1:11">
      <c r="A9" s="1"/>
      <c r="B9" s="1" t="s">
        <v>302</v>
      </c>
      <c r="C9" s="1" t="s">
        <v>303</v>
      </c>
      <c r="D9" s="33">
        <f>API参数!C8</f>
        <v>4</v>
      </c>
      <c r="E9" s="37">
        <f>D21*D34</f>
        <v>34830400</v>
      </c>
      <c r="F9" s="33">
        <f>E9/1000000*D9*$G$34*API参数!$C$6</f>
        <v>1003.11552</v>
      </c>
      <c r="G9" s="37">
        <f>F21*D34</f>
        <v>4353800</v>
      </c>
      <c r="H9" s="33">
        <f>G9/1000000*D9*$G$34*API参数!$C$6</f>
        <v>125.38944</v>
      </c>
      <c r="I9" s="1"/>
      <c r="J9" s="1" t="s">
        <v>304</v>
      </c>
      <c r="K9" s="1"/>
    </row>
    <row r="10" ht="29" customHeight="1" spans="1:11">
      <c r="A10" s="1"/>
      <c r="B10" s="1" t="s">
        <v>305</v>
      </c>
      <c r="C10" s="1" t="s">
        <v>303</v>
      </c>
      <c r="D10" s="33">
        <f>API参数!C8</f>
        <v>4</v>
      </c>
      <c r="E10" s="37">
        <f>D21*C34</f>
        <v>220000000</v>
      </c>
      <c r="F10" s="33">
        <f>E10/1000000*D10*$G$34*API参数!$C$6</f>
        <v>6336</v>
      </c>
      <c r="G10" s="37">
        <f>F21*C34</f>
        <v>27500000</v>
      </c>
      <c r="H10" s="33">
        <f>G10/1000000*D10*$G$34*API参数!$C$6</f>
        <v>792</v>
      </c>
      <c r="I10" s="1"/>
      <c r="J10" s="1" t="s">
        <v>306</v>
      </c>
      <c r="K10" s="1"/>
    </row>
    <row r="11" ht="29" customHeight="1" spans="1:11">
      <c r="A11" s="1"/>
      <c r="B11" s="1" t="s">
        <v>307</v>
      </c>
      <c r="C11" s="1" t="s">
        <v>303</v>
      </c>
      <c r="D11" s="33">
        <f>API参数!C9</f>
        <v>20</v>
      </c>
      <c r="E11" s="37">
        <f>D21*F34</f>
        <v>17600000</v>
      </c>
      <c r="F11" s="33">
        <f>E11/1000000*D11*$H$34*API参数!$C$6</f>
        <v>2534.4</v>
      </c>
      <c r="G11" s="37">
        <f>F21*F34</f>
        <v>2200000</v>
      </c>
      <c r="H11" s="33">
        <f>G11/1000000*D11*$H$34*API参数!$C$6</f>
        <v>316.8</v>
      </c>
      <c r="I11" s="1"/>
      <c r="J11" s="1" t="s">
        <v>308</v>
      </c>
      <c r="K11" s="1"/>
    </row>
    <row r="12" ht="29" customHeight="1" spans="1:11">
      <c r="A12" s="1"/>
      <c r="B12" s="1" t="s">
        <v>309</v>
      </c>
      <c r="C12" s="1" t="s">
        <v>303</v>
      </c>
      <c r="D12" s="33">
        <f>API参数!C10</f>
        <v>10</v>
      </c>
      <c r="E12" s="37">
        <f>D22*D35</f>
        <v>34830400</v>
      </c>
      <c r="F12" s="33">
        <f>E12/1000000*D12*$G$35*API参数!$C$6</f>
        <v>2507.7888</v>
      </c>
      <c r="G12" s="37">
        <f>F22*D35</f>
        <v>4353800</v>
      </c>
      <c r="H12" s="33">
        <f>G12/1000000*D12*$G$35*API参数!$C$6</f>
        <v>313.4736</v>
      </c>
      <c r="I12" s="1"/>
      <c r="J12" s="1" t="s">
        <v>310</v>
      </c>
      <c r="K12" s="1"/>
    </row>
    <row r="13" ht="29" customHeight="1" spans="1:11">
      <c r="A13" s="1"/>
      <c r="B13" s="1" t="s">
        <v>311</v>
      </c>
      <c r="C13" s="1" t="s">
        <v>303</v>
      </c>
      <c r="D13" s="33">
        <f>API参数!C10</f>
        <v>10</v>
      </c>
      <c r="E13" s="37">
        <f>D22*C35</f>
        <v>132000000</v>
      </c>
      <c r="F13" s="33">
        <f>E13/1000000*D13*$G$35*API参数!$C$6</f>
        <v>9504</v>
      </c>
      <c r="G13" s="37">
        <f>F22*C35</f>
        <v>16500000</v>
      </c>
      <c r="H13" s="33">
        <f>G13/1000000*D13*$G$35*API参数!$C$6</f>
        <v>1188</v>
      </c>
      <c r="I13" s="1"/>
      <c r="J13" s="1" t="s">
        <v>312</v>
      </c>
      <c r="K13" s="1"/>
    </row>
    <row r="14" ht="29" customHeight="1" spans="1:11">
      <c r="A14" s="1"/>
      <c r="B14" s="1" t="s">
        <v>313</v>
      </c>
      <c r="C14" s="1" t="s">
        <v>303</v>
      </c>
      <c r="D14" s="33">
        <f>API参数!C11</f>
        <v>50</v>
      </c>
      <c r="E14" s="37">
        <f>D22*F35</f>
        <v>17600000</v>
      </c>
      <c r="F14" s="33">
        <f>E14/1000000*D14*$H$35*API参数!$C$6</f>
        <v>6336</v>
      </c>
      <c r="G14" s="37">
        <f>F22*F35</f>
        <v>2200000</v>
      </c>
      <c r="H14" s="33">
        <f>G14/1000000*D14*$H$35*API参数!$C$6</f>
        <v>792</v>
      </c>
      <c r="I14" s="1"/>
      <c r="J14" s="1" t="s">
        <v>314</v>
      </c>
      <c r="K14" s="1"/>
    </row>
    <row r="15" ht="29" customHeight="1" spans="1:11">
      <c r="A15" s="1"/>
      <c r="B15" s="3" t="s">
        <v>315</v>
      </c>
      <c r="C15" s="3"/>
      <c r="D15" s="17"/>
      <c r="E15" s="17"/>
      <c r="F15" s="40">
        <f>IF(COUNT(API参数!C6:C34)&lt;29,NA(),SUM(F8:F14))</f>
        <v>28237.14432</v>
      </c>
      <c r="G15" s="17"/>
      <c r="H15" s="40">
        <f>IF(COUNT(API参数!C6:C34)&lt;29,NA(),SUM(H8:H14))</f>
        <v>3543.50304</v>
      </c>
      <c r="I15" s="1"/>
      <c r="J15" s="1" t="s">
        <v>316</v>
      </c>
      <c r="K15" s="1"/>
    </row>
    <row r="16" ht="29" customHeight="1" spans="1:11">
      <c r="A16" s="1"/>
      <c r="B16" s="3" t="s">
        <v>317</v>
      </c>
      <c r="C16" s="3"/>
      <c r="D16" s="14">
        <v>100</v>
      </c>
      <c r="E16" s="17"/>
      <c r="F16" s="17"/>
      <c r="G16" s="17"/>
      <c r="H16" s="17"/>
      <c r="I16" s="1"/>
      <c r="J16" s="1"/>
      <c r="K16" s="1"/>
    </row>
    <row r="17" ht="29" customHeight="1" spans="1:11">
      <c r="A17" s="1"/>
      <c r="B17" s="3" t="s">
        <v>318</v>
      </c>
      <c r="C17" s="3"/>
      <c r="D17" s="17"/>
      <c r="E17" s="17"/>
      <c r="F17" s="17">
        <f>ROUNDUP(F15/D16,0)*D16</f>
        <v>28300</v>
      </c>
      <c r="G17" s="17"/>
      <c r="H17" s="17">
        <f>ROUNDUP(H15/D16,0)*D16</f>
        <v>3600</v>
      </c>
      <c r="I17" s="1"/>
      <c r="J17" s="1" t="s">
        <v>319</v>
      </c>
      <c r="K17" s="1"/>
    </row>
    <row r="18" ht="29" customHeight="1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29" customHeight="1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32" customHeight="1" spans="1:11">
      <c r="A20" s="1"/>
      <c r="B20" s="5" t="s">
        <v>320</v>
      </c>
      <c r="C20" s="5" t="s">
        <v>197</v>
      </c>
      <c r="D20" s="5" t="s">
        <v>321</v>
      </c>
      <c r="E20" s="5" t="s">
        <v>322</v>
      </c>
      <c r="F20" s="5" t="s">
        <v>323</v>
      </c>
      <c r="G20" s="1"/>
      <c r="H20" s="1"/>
      <c r="I20" s="1"/>
      <c r="J20" s="1"/>
      <c r="K20" s="1"/>
    </row>
    <row r="21" ht="29" customHeight="1" spans="1:11">
      <c r="A21" s="1"/>
      <c r="B21" s="1" t="s">
        <v>324</v>
      </c>
      <c r="C21" s="1" t="s">
        <v>325</v>
      </c>
      <c r="D21" s="34">
        <f>API参数!C21*API参数!C22*API参数!C23*(1+API参数!C29)</f>
        <v>4400</v>
      </c>
      <c r="E21" s="1"/>
      <c r="F21" s="34">
        <f>API参数!C25*API参数!C26*API参数!C27*(1+API参数!C29)</f>
        <v>550</v>
      </c>
      <c r="G21" s="1"/>
      <c r="H21" s="1"/>
      <c r="I21" s="1"/>
      <c r="J21" s="1" t="s">
        <v>326</v>
      </c>
      <c r="K21" s="1"/>
    </row>
    <row r="22" ht="29" customHeight="1" spans="1:11">
      <c r="A22" s="1"/>
      <c r="B22" s="1" t="s">
        <v>327</v>
      </c>
      <c r="C22" s="1" t="s">
        <v>325</v>
      </c>
      <c r="D22" s="34">
        <f>D21*API参数!C30</f>
        <v>4400</v>
      </c>
      <c r="E22" s="1"/>
      <c r="F22" s="34">
        <f>F21*API参数!C30</f>
        <v>550</v>
      </c>
      <c r="G22" s="1"/>
      <c r="H22" s="1"/>
      <c r="I22" s="1"/>
      <c r="J22" s="1" t="s">
        <v>328</v>
      </c>
      <c r="K22" s="1"/>
    </row>
    <row r="23" ht="29" customHeight="1" spans="1:11">
      <c r="A23" s="1"/>
      <c r="B23" s="1" t="s">
        <v>329</v>
      </c>
      <c r="C23" s="1" t="s">
        <v>330</v>
      </c>
      <c r="D23" s="34">
        <f>API参数!C21*API参数!C22*API参数!C24*API参数!C20*(1+API参数!C29)</f>
        <v>550</v>
      </c>
      <c r="E23" s="1"/>
      <c r="F23" s="34">
        <f>API参数!C25*API参数!C26*API参数!C28*API参数!C20*(1+API参数!C29)</f>
        <v>550</v>
      </c>
      <c r="G23" s="1"/>
      <c r="H23" s="1"/>
      <c r="I23" s="1"/>
      <c r="J23" s="1" t="s">
        <v>331</v>
      </c>
      <c r="K23" s="1"/>
    </row>
    <row r="24" ht="29" customHeight="1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29" customHeight="1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29" customHeight="1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32" customHeight="1" spans="1:11">
      <c r="A27" s="1"/>
      <c r="B27" s="5" t="s">
        <v>332</v>
      </c>
      <c r="C27" s="5" t="s">
        <v>333</v>
      </c>
      <c r="D27" s="5" t="s">
        <v>334</v>
      </c>
      <c r="E27" s="5" t="s">
        <v>335</v>
      </c>
      <c r="F27" s="5" t="s">
        <v>336</v>
      </c>
      <c r="G27" s="5" t="s">
        <v>337</v>
      </c>
      <c r="H27" s="1"/>
      <c r="I27" s="1"/>
      <c r="J27" s="1"/>
      <c r="K27" s="1"/>
    </row>
    <row r="28" ht="29" customHeight="1" spans="1:11">
      <c r="A28" s="1"/>
      <c r="B28" s="1" t="s">
        <v>338</v>
      </c>
      <c r="C28" s="35">
        <f>API参数!C16</f>
        <v>2500</v>
      </c>
      <c r="D28" s="36">
        <f>API参数!C15</f>
        <v>1.2</v>
      </c>
      <c r="E28" s="37">
        <f>ROUNDUP(C28*D28,0)</f>
        <v>3000</v>
      </c>
      <c r="F28" s="35">
        <f>API参数!C18</f>
        <v>1</v>
      </c>
      <c r="G28" s="37">
        <f>E28*F28</f>
        <v>3000</v>
      </c>
      <c r="H28" s="37"/>
      <c r="I28" s="1"/>
      <c r="J28" s="1"/>
      <c r="K28" s="1"/>
    </row>
    <row r="29" ht="29" customHeight="1" spans="1:11">
      <c r="A29" s="1"/>
      <c r="B29" s="1" t="s">
        <v>339</v>
      </c>
      <c r="C29" s="35">
        <f>API参数!C17</f>
        <v>1024</v>
      </c>
      <c r="D29" s="36">
        <f>API参数!C15</f>
        <v>1.2</v>
      </c>
      <c r="E29" s="37">
        <f>ROUNDUP(C29*D29,0)</f>
        <v>1229</v>
      </c>
      <c r="F29" s="35">
        <f>API参数!C19</f>
        <v>4</v>
      </c>
      <c r="G29" s="37">
        <f>E29*F29</f>
        <v>4916</v>
      </c>
      <c r="H29" s="37"/>
      <c r="I29" s="1"/>
      <c r="J29" s="1"/>
      <c r="K29" s="1"/>
    </row>
    <row r="30" ht="29" customHeight="1" spans="1:11">
      <c r="A30" s="1"/>
      <c r="B30" s="1" t="s">
        <v>340</v>
      </c>
      <c r="C30" s="37"/>
      <c r="D30" s="37"/>
      <c r="E30" s="37"/>
      <c r="F30" s="37"/>
      <c r="G30" s="37">
        <f>SUM(G28:G29)</f>
        <v>7916</v>
      </c>
      <c r="H30" s="37"/>
      <c r="I30" s="1"/>
      <c r="J30" s="1" t="s">
        <v>341</v>
      </c>
      <c r="K30" s="1"/>
    </row>
    <row r="31" ht="29" customHeight="1" spans="1:11">
      <c r="A31" s="1"/>
      <c r="B31" s="1"/>
      <c r="C31" s="37"/>
      <c r="D31" s="37"/>
      <c r="E31" s="37"/>
      <c r="F31" s="37"/>
      <c r="G31" s="37"/>
      <c r="H31" s="37"/>
      <c r="I31" s="1"/>
      <c r="J31" s="1"/>
      <c r="K31" s="1"/>
    </row>
    <row r="32" ht="29" customHeight="1" spans="1:11">
      <c r="A32" s="1"/>
      <c r="B32" s="1"/>
      <c r="C32" s="37"/>
      <c r="D32" s="37"/>
      <c r="E32" s="37"/>
      <c r="F32" s="37"/>
      <c r="G32" s="37"/>
      <c r="H32" s="37"/>
      <c r="I32" s="1"/>
      <c r="J32" s="1"/>
      <c r="K32" s="1"/>
    </row>
    <row r="33" ht="32" customHeight="1" spans="1:11">
      <c r="A33" s="1"/>
      <c r="B33" s="5" t="s">
        <v>342</v>
      </c>
      <c r="C33" s="38" t="s">
        <v>343</v>
      </c>
      <c r="D33" s="38" t="s">
        <v>344</v>
      </c>
      <c r="E33" s="38" t="s">
        <v>345</v>
      </c>
      <c r="F33" s="38" t="s">
        <v>346</v>
      </c>
      <c r="G33" s="38" t="s">
        <v>347</v>
      </c>
      <c r="H33" s="38" t="s">
        <v>348</v>
      </c>
      <c r="I33" s="1"/>
      <c r="J33" s="1"/>
      <c r="K33" s="1"/>
    </row>
    <row r="34" ht="29" customHeight="1" spans="1:11">
      <c r="A34" s="1"/>
      <c r="B34" s="1" t="s">
        <v>86</v>
      </c>
      <c r="C34" s="35">
        <f>API参数!C31</f>
        <v>50000</v>
      </c>
      <c r="D34" s="37">
        <f>$G$30</f>
        <v>7916</v>
      </c>
      <c r="E34" s="37">
        <f>SUM(C34:D34)</f>
        <v>57916</v>
      </c>
      <c r="F34" s="35">
        <f>API参数!C32</f>
        <v>4000</v>
      </c>
      <c r="G34" s="36">
        <f>IF(E34&gt;API参数!$C$12,API参数!$C$13,1)</f>
        <v>1</v>
      </c>
      <c r="H34" s="36">
        <f>IF(E34&gt;API参数!$C$12,API参数!$C$14,1)</f>
        <v>1</v>
      </c>
      <c r="I34" s="1"/>
      <c r="J34" s="1"/>
      <c r="K34" s="1"/>
    </row>
    <row r="35" ht="29" customHeight="1" spans="1:11">
      <c r="A35" s="1"/>
      <c r="B35" s="1" t="s">
        <v>89</v>
      </c>
      <c r="C35" s="35">
        <f>API参数!C33</f>
        <v>30000</v>
      </c>
      <c r="D35" s="37">
        <f>$G$30</f>
        <v>7916</v>
      </c>
      <c r="E35" s="37">
        <f>SUM(C35:D35)</f>
        <v>37916</v>
      </c>
      <c r="F35" s="35">
        <f>API参数!C34</f>
        <v>4000</v>
      </c>
      <c r="G35" s="36">
        <f>IF(E35&gt;API参数!$C$12,API参数!$C$13,1)</f>
        <v>1</v>
      </c>
      <c r="H35" s="36">
        <f>IF(E35&gt;API参数!$C$12,API参数!$C$14,1)</f>
        <v>1</v>
      </c>
      <c r="I35" s="1"/>
      <c r="J35" s="1"/>
      <c r="K35" s="1"/>
    </row>
    <row r="36" ht="29" customHeight="1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29" customHeight="1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29" customHeight="1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32" customHeight="1" spans="1:11">
      <c r="A39" s="1"/>
      <c r="B39" s="5" t="s">
        <v>349</v>
      </c>
      <c r="C39" s="5" t="s">
        <v>293</v>
      </c>
      <c r="D39" s="5" t="s">
        <v>294</v>
      </c>
      <c r="E39" s="5" t="s">
        <v>350</v>
      </c>
      <c r="F39" s="5" t="s">
        <v>351</v>
      </c>
      <c r="G39" s="1"/>
      <c r="H39" s="1"/>
      <c r="I39" s="1"/>
      <c r="J39" s="1"/>
      <c r="K39" s="1"/>
    </row>
    <row r="40" ht="29" customHeight="1" spans="1:11">
      <c r="A40" s="1"/>
      <c r="B40" s="1" t="str">
        <f t="shared" ref="B40:B46" si="0">B8</f>
        <v>Mistral OCR 4.0</v>
      </c>
      <c r="C40" s="1" t="str">
        <f t="shared" ref="C40:C46" si="1">C8</f>
        <v>千页</v>
      </c>
      <c r="D40" s="39">
        <f t="shared" ref="D40:D46" si="2">D8</f>
        <v>4</v>
      </c>
      <c r="E40" s="37">
        <f>1</f>
        <v>1</v>
      </c>
      <c r="F40" s="41">
        <f>E40/1000*D40*1*API参数!$C$6</f>
        <v>0.0288</v>
      </c>
      <c r="G40" s="1"/>
      <c r="H40" s="1"/>
      <c r="I40" s="1"/>
      <c r="J40" s="1" t="s">
        <v>352</v>
      </c>
      <c r="K40" s="1"/>
    </row>
    <row r="41" ht="29" customHeight="1" spans="1:11">
      <c r="A41" s="1"/>
      <c r="B41" s="1" t="str">
        <f t="shared" si="0"/>
        <v>Sol图像输入</v>
      </c>
      <c r="C41" s="1" t="str">
        <f t="shared" si="1"/>
        <v>百万token</v>
      </c>
      <c r="D41" s="39">
        <f t="shared" si="2"/>
        <v>4</v>
      </c>
      <c r="E41" s="37">
        <f>D34</f>
        <v>7916</v>
      </c>
      <c r="F41" s="41">
        <f>E41/1000000*D41*$G$34*API参数!$C$6</f>
        <v>0.2279808</v>
      </c>
      <c r="G41" s="1"/>
      <c r="H41" s="1"/>
      <c r="I41" s="1"/>
      <c r="J41" s="1" t="s">
        <v>353</v>
      </c>
      <c r="K41" s="1"/>
    </row>
    <row r="42" ht="29" customHeight="1" spans="1:11">
      <c r="A42" s="1"/>
      <c r="B42" s="1" t="str">
        <f t="shared" si="0"/>
        <v>Sol文字输入</v>
      </c>
      <c r="C42" s="1" t="str">
        <f t="shared" si="1"/>
        <v>百万token</v>
      </c>
      <c r="D42" s="39">
        <f t="shared" si="2"/>
        <v>4</v>
      </c>
      <c r="E42" s="37">
        <f>C34</f>
        <v>50000</v>
      </c>
      <c r="F42" s="41">
        <f>E42/1000000*D42*$G$34*API参数!$C$6</f>
        <v>1.44</v>
      </c>
      <c r="G42" s="1"/>
      <c r="H42" s="1"/>
      <c r="I42" s="1"/>
      <c r="J42" s="1" t="s">
        <v>354</v>
      </c>
      <c r="K42" s="1"/>
    </row>
    <row r="43" ht="29" customHeight="1" spans="1:11">
      <c r="A43" s="1"/>
      <c r="B43" s="1" t="str">
        <f t="shared" si="0"/>
        <v>Sol计费输出</v>
      </c>
      <c r="C43" s="1" t="str">
        <f t="shared" si="1"/>
        <v>百万token</v>
      </c>
      <c r="D43" s="39">
        <f t="shared" si="2"/>
        <v>20</v>
      </c>
      <c r="E43" s="37">
        <f>F34</f>
        <v>4000</v>
      </c>
      <c r="F43" s="41">
        <f>E43/1000000*D43*$H$34*API参数!$C$6</f>
        <v>0.576</v>
      </c>
      <c r="G43" s="1"/>
      <c r="H43" s="1"/>
      <c r="I43" s="1"/>
      <c r="J43" s="1" t="s">
        <v>355</v>
      </c>
      <c r="K43" s="1"/>
    </row>
    <row r="44" ht="29" customHeight="1" spans="1:11">
      <c r="A44" s="1"/>
      <c r="B44" s="1" t="str">
        <f t="shared" si="0"/>
        <v>Astra图像输入</v>
      </c>
      <c r="C44" s="1" t="str">
        <f t="shared" si="1"/>
        <v>百万token</v>
      </c>
      <c r="D44" s="39">
        <f t="shared" si="2"/>
        <v>10</v>
      </c>
      <c r="E44" s="37">
        <f>D35</f>
        <v>7916</v>
      </c>
      <c r="F44" s="41">
        <f>E44/1000000*D44*$G$35*API参数!$C$6</f>
        <v>0.569952</v>
      </c>
      <c r="G44" s="1"/>
      <c r="H44" s="1"/>
      <c r="I44" s="1"/>
      <c r="J44" s="1" t="s">
        <v>356</v>
      </c>
      <c r="K44" s="1"/>
    </row>
    <row r="45" ht="29" customHeight="1" spans="1:11">
      <c r="A45" s="1"/>
      <c r="B45" s="1" t="str">
        <f t="shared" si="0"/>
        <v>Astra文字输入</v>
      </c>
      <c r="C45" s="1" t="str">
        <f t="shared" si="1"/>
        <v>百万token</v>
      </c>
      <c r="D45" s="39">
        <f t="shared" si="2"/>
        <v>10</v>
      </c>
      <c r="E45" s="37">
        <f>C35</f>
        <v>30000</v>
      </c>
      <c r="F45" s="41">
        <f>E45/1000000*D45*$G$35*API参数!$C$6</f>
        <v>2.16</v>
      </c>
      <c r="G45" s="1"/>
      <c r="H45" s="1"/>
      <c r="I45" s="1"/>
      <c r="J45" s="1" t="s">
        <v>357</v>
      </c>
      <c r="K45" s="1"/>
    </row>
    <row r="46" ht="29" customHeight="1" spans="1:11">
      <c r="A46" s="1"/>
      <c r="B46" s="1" t="str">
        <f t="shared" si="0"/>
        <v>Astra计费输出</v>
      </c>
      <c r="C46" s="1" t="str">
        <f t="shared" si="1"/>
        <v>百万token</v>
      </c>
      <c r="D46" s="39">
        <f t="shared" si="2"/>
        <v>50</v>
      </c>
      <c r="E46" s="37">
        <f>F35</f>
        <v>4000</v>
      </c>
      <c r="F46" s="41">
        <f>E46/1000000*D46*$H$35*API参数!$C$6</f>
        <v>1.44</v>
      </c>
      <c r="G46" s="1"/>
      <c r="H46" s="1"/>
      <c r="I46" s="1"/>
      <c r="J46" s="1" t="s">
        <v>358</v>
      </c>
      <c r="K46" s="1"/>
    </row>
    <row r="47" ht="29" customHeight="1" spans="1:11">
      <c r="A47" s="1"/>
      <c r="B47" s="1" t="s">
        <v>359</v>
      </c>
      <c r="C47" s="1"/>
      <c r="D47" s="39"/>
      <c r="E47" s="39"/>
      <c r="F47" s="39">
        <f>SUM(F40:F46)</f>
        <v>6.4427328</v>
      </c>
      <c r="G47" s="1"/>
      <c r="H47" s="1"/>
      <c r="I47" s="1"/>
      <c r="J47" s="1" t="s">
        <v>360</v>
      </c>
      <c r="K47" s="1"/>
    </row>
    <row r="48" ht="29" customHeight="1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29" customHeight="1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29" customHeight="1" spans="1:11">
      <c r="A50" s="1"/>
      <c r="B50" s="1" t="s">
        <v>361</v>
      </c>
      <c r="C50" s="1"/>
      <c r="D50" s="1"/>
      <c r="E50" s="1"/>
      <c r="F50" s="1"/>
      <c r="G50" s="1"/>
      <c r="H50" s="1"/>
      <c r="I50" s="1"/>
      <c r="J50" s="1" t="s">
        <v>362</v>
      </c>
      <c r="K50" s="1"/>
    </row>
    <row r="51" ht="29" customHeight="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29" customHeight="1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29" customHeight="1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29" customHeight="1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29" customHeight="1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29" customHeight="1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29" customHeight="1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29" customHeight="1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29" customHeight="1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29" customHeight="1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29" customHeight="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29" customHeight="1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29" customHeight="1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29" customHeight="1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29" customHeight="1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29" customHeight="1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29" customHeight="1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29" customHeight="1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29" customHeight="1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29" customHeight="1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</sheetData>
  <conditionalFormatting sqref="A1:K70">
    <cfRule type="containsErrors" dxfId="0" priority="1">
      <formula>ISERROR(A1)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E5C"/>
  </sheetPr>
  <dimension ref="A1:F35"/>
  <sheetViews>
    <sheetView showGridLines="0" zoomScale="102" zoomScaleNormal="102" workbookViewId="0">
      <pane ySplit="5" topLeftCell="A6" activePane="bottomLeft" state="frozen"/>
      <selection/>
      <selection pane="bottomLeft" activeCell="D7" sqref="D7"/>
    </sheetView>
  </sheetViews>
  <sheetFormatPr defaultColWidth="9" defaultRowHeight="16.8" outlineLevelCol="5"/>
  <cols>
    <col min="1" max="1" width="3" customWidth="1"/>
    <col min="2" max="2" width="9.91911764705882" customWidth="1"/>
    <col min="3" max="3" width="17.1470588235294" customWidth="1"/>
    <col min="4" max="4" width="44.7279411764706" customWidth="1"/>
    <col min="5" max="5" width="19" customWidth="1"/>
  </cols>
  <sheetData>
    <row r="1" ht="17.6" spans="1:6">
      <c r="A1" s="19"/>
      <c r="B1" s="20"/>
      <c r="C1" s="20"/>
      <c r="D1" s="20"/>
      <c r="E1" s="20"/>
      <c r="F1" s="19"/>
    </row>
    <row r="2" ht="23.2" spans="1:6">
      <c r="A2" s="19"/>
      <c r="B2" s="2" t="s">
        <v>363</v>
      </c>
      <c r="C2" s="20"/>
      <c r="D2" s="20"/>
      <c r="E2" s="20"/>
      <c r="F2" s="19"/>
    </row>
    <row r="3" ht="17.6" spans="1:6">
      <c r="A3" s="19"/>
      <c r="B3" s="20" t="s">
        <v>364</v>
      </c>
      <c r="C3" s="20"/>
      <c r="D3" s="20"/>
      <c r="E3" s="20"/>
      <c r="F3" s="19"/>
    </row>
    <row r="4" ht="17.6" spans="1:6">
      <c r="A4" s="19"/>
      <c r="B4" s="20"/>
      <c r="C4" s="20"/>
      <c r="D4" s="20"/>
      <c r="E4" s="20"/>
      <c r="F4" s="19"/>
    </row>
    <row r="5" ht="32" customHeight="1" spans="1:6">
      <c r="A5" s="19"/>
      <c r="B5" s="21" t="s">
        <v>365</v>
      </c>
      <c r="C5" s="21" t="s">
        <v>366</v>
      </c>
      <c r="D5" s="21" t="s">
        <v>367</v>
      </c>
      <c r="E5" s="21" t="s">
        <v>368</v>
      </c>
      <c r="F5" s="19"/>
    </row>
    <row r="6" ht="48" customHeight="1" spans="1:6">
      <c r="A6" s="19"/>
      <c r="B6" s="22" t="s">
        <v>369</v>
      </c>
      <c r="C6" s="22" t="s">
        <v>370</v>
      </c>
      <c r="D6" s="22" t="s">
        <v>371</v>
      </c>
      <c r="E6" s="29">
        <f>成本预算!G7</f>
        <v>100000</v>
      </c>
      <c r="F6" s="19"/>
    </row>
    <row r="7" ht="48" customHeight="1" spans="1:6">
      <c r="A7" s="19"/>
      <c r="B7" s="23" t="s">
        <v>372</v>
      </c>
      <c r="C7" s="23" t="s">
        <v>82</v>
      </c>
      <c r="D7" s="23" t="s">
        <v>373</v>
      </c>
      <c r="E7" s="30">
        <f>成本预算!G8</f>
        <v>100</v>
      </c>
      <c r="F7" s="19"/>
    </row>
    <row r="8" ht="48" customHeight="1" spans="1:6">
      <c r="A8" s="19"/>
      <c r="B8" s="22"/>
      <c r="C8" s="22" t="s">
        <v>86</v>
      </c>
      <c r="D8" s="22" t="s">
        <v>374</v>
      </c>
      <c r="E8" s="29">
        <f>成本预算!G9</f>
        <v>11200</v>
      </c>
      <c r="F8" s="19"/>
    </row>
    <row r="9" ht="48" customHeight="1" spans="1:6">
      <c r="A9" s="19"/>
      <c r="B9" s="23"/>
      <c r="C9" s="23" t="s">
        <v>89</v>
      </c>
      <c r="D9" s="23" t="s">
        <v>375</v>
      </c>
      <c r="E9" s="30">
        <f>成本预算!G10</f>
        <v>20600</v>
      </c>
      <c r="F9" s="19"/>
    </row>
    <row r="10" ht="48" customHeight="1" spans="1:6">
      <c r="A10" s="19"/>
      <c r="B10" s="22"/>
      <c r="C10" s="22" t="s">
        <v>92</v>
      </c>
      <c r="D10" s="22" t="s">
        <v>376</v>
      </c>
      <c r="E10" s="29">
        <f>成本预算!G11</f>
        <v>0</v>
      </c>
      <c r="F10" s="19"/>
    </row>
    <row r="11" ht="48" customHeight="1" spans="1:6">
      <c r="A11" s="19"/>
      <c r="B11" s="23" t="s">
        <v>377</v>
      </c>
      <c r="C11" s="23" t="s">
        <v>96</v>
      </c>
      <c r="D11" s="23" t="s">
        <v>378</v>
      </c>
      <c r="E11" s="30">
        <f>成本预算!G12</f>
        <v>5400</v>
      </c>
      <c r="F11" s="19"/>
    </row>
    <row r="12" ht="48" customHeight="1" spans="1:6">
      <c r="A12" s="19"/>
      <c r="B12" s="22"/>
      <c r="C12" s="22" t="s">
        <v>100</v>
      </c>
      <c r="D12" s="22" t="s">
        <v>379</v>
      </c>
      <c r="E12" s="29">
        <f>成本预算!G13</f>
        <v>1800</v>
      </c>
      <c r="F12" s="19"/>
    </row>
    <row r="13" ht="48" customHeight="1" spans="1:6">
      <c r="A13" s="19"/>
      <c r="B13" s="23"/>
      <c r="C13" s="23" t="s">
        <v>104</v>
      </c>
      <c r="D13" s="23" t="s">
        <v>380</v>
      </c>
      <c r="E13" s="30">
        <f>成本预算!G14</f>
        <v>500</v>
      </c>
      <c r="F13" s="19"/>
    </row>
    <row r="14" ht="48" customHeight="1" spans="1:6">
      <c r="A14" s="19"/>
      <c r="B14" s="22"/>
      <c r="C14" s="22" t="s">
        <v>107</v>
      </c>
      <c r="D14" s="22" t="s">
        <v>381</v>
      </c>
      <c r="E14" s="29">
        <f>成本预算!G15</f>
        <v>300</v>
      </c>
      <c r="F14" s="19"/>
    </row>
    <row r="15" ht="48" customHeight="1" spans="1:6">
      <c r="A15" s="19"/>
      <c r="B15" s="23"/>
      <c r="C15" s="23" t="s">
        <v>110</v>
      </c>
      <c r="D15" s="23" t="s">
        <v>382</v>
      </c>
      <c r="E15" s="30">
        <f>成本预算!G16</f>
        <v>1200</v>
      </c>
      <c r="F15" s="19"/>
    </row>
    <row r="16" ht="48" customHeight="1" spans="1:6">
      <c r="A16" s="19"/>
      <c r="B16" s="22"/>
      <c r="C16" s="22" t="s">
        <v>113</v>
      </c>
      <c r="D16" s="22" t="s">
        <v>383</v>
      </c>
      <c r="E16" s="29">
        <f>成本预算!G17</f>
        <v>18000</v>
      </c>
      <c r="F16" s="19"/>
    </row>
    <row r="17" ht="48" customHeight="1" spans="1:6">
      <c r="A17" s="19"/>
      <c r="B17" s="23" t="s">
        <v>384</v>
      </c>
      <c r="C17" s="23" t="s">
        <v>117</v>
      </c>
      <c r="D17" s="24" t="s">
        <v>385</v>
      </c>
      <c r="E17" s="30">
        <f>成本预算!G18</f>
        <v>0</v>
      </c>
      <c r="F17" s="19"/>
    </row>
    <row r="18" ht="48" customHeight="1" spans="1:6">
      <c r="A18" s="19"/>
      <c r="B18" s="22"/>
      <c r="C18" s="22" t="s">
        <v>121</v>
      </c>
      <c r="D18" s="25" t="s">
        <v>123</v>
      </c>
      <c r="E18" s="29">
        <f>成本预算!G19</f>
        <v>0</v>
      </c>
      <c r="F18" s="19"/>
    </row>
    <row r="19" ht="48" customHeight="1" spans="1:6">
      <c r="A19" s="19"/>
      <c r="B19" s="23"/>
      <c r="C19" s="23" t="s">
        <v>125</v>
      </c>
      <c r="D19" s="24" t="s">
        <v>126</v>
      </c>
      <c r="E19" s="30">
        <f>成本预算!G20</f>
        <v>0</v>
      </c>
      <c r="F19" s="19"/>
    </row>
    <row r="20" ht="48" customHeight="1" spans="1:6">
      <c r="A20" s="19"/>
      <c r="B20" s="22"/>
      <c r="C20" s="22" t="s">
        <v>128</v>
      </c>
      <c r="D20" s="25" t="s">
        <v>386</v>
      </c>
      <c r="E20" s="29">
        <f>成本预算!G21</f>
        <v>0</v>
      </c>
      <c r="F20" s="19"/>
    </row>
    <row r="21" ht="48" customHeight="1" spans="1:6">
      <c r="A21" s="19"/>
      <c r="B21" s="23" t="s">
        <v>387</v>
      </c>
      <c r="C21" s="23" t="s">
        <v>388</v>
      </c>
      <c r="D21" s="23" t="s">
        <v>389</v>
      </c>
      <c r="E21" s="30">
        <f>成本预算!G22</f>
        <v>0</v>
      </c>
      <c r="F21" s="19"/>
    </row>
    <row r="22" ht="48" customHeight="1" spans="1:6">
      <c r="A22" s="19"/>
      <c r="B22" s="22"/>
      <c r="C22" s="22" t="s">
        <v>135</v>
      </c>
      <c r="D22" s="25" t="s">
        <v>390</v>
      </c>
      <c r="E22" s="29">
        <f>成本预算!G23</f>
        <v>0</v>
      </c>
      <c r="F22" s="19"/>
    </row>
    <row r="23" ht="48" customHeight="1" spans="1:6">
      <c r="A23" s="19"/>
      <c r="B23" s="23"/>
      <c r="C23" s="23" t="s">
        <v>139</v>
      </c>
      <c r="D23" s="24" t="s">
        <v>391</v>
      </c>
      <c r="E23" s="30">
        <f>成本预算!G24</f>
        <v>0</v>
      </c>
      <c r="F23" s="19"/>
    </row>
    <row r="24" ht="48" customHeight="1" spans="1:6">
      <c r="A24" s="19"/>
      <c r="B24" s="22"/>
      <c r="C24" s="22" t="s">
        <v>142</v>
      </c>
      <c r="D24" s="25" t="s">
        <v>392</v>
      </c>
      <c r="E24" s="29">
        <f>成本预算!G25</f>
        <v>0</v>
      </c>
      <c r="F24" s="19"/>
    </row>
    <row r="25" ht="48" customHeight="1" spans="1:6">
      <c r="A25" s="19"/>
      <c r="B25" s="23" t="s">
        <v>393</v>
      </c>
      <c r="C25" s="23" t="s">
        <v>394</v>
      </c>
      <c r="D25" s="23" t="s">
        <v>395</v>
      </c>
      <c r="E25" s="30">
        <f>成本预算!G26</f>
        <v>0</v>
      </c>
      <c r="F25" s="19"/>
    </row>
    <row r="26" ht="48" customHeight="1" spans="1:6">
      <c r="A26" s="19"/>
      <c r="B26" s="26" t="s">
        <v>396</v>
      </c>
      <c r="C26" s="26" t="s">
        <v>397</v>
      </c>
      <c r="D26" s="27" t="s">
        <v>398</v>
      </c>
      <c r="E26" s="31">
        <f>成本预算!G29</f>
        <v>7955</v>
      </c>
      <c r="F26" s="19"/>
    </row>
    <row r="27" ht="48" customHeight="1" spans="1:6">
      <c r="A27" s="19"/>
      <c r="B27" s="28" t="s">
        <v>399</v>
      </c>
      <c r="C27" s="28"/>
      <c r="D27" s="28" t="s">
        <v>400</v>
      </c>
      <c r="E27" s="32">
        <f>成本预算!G30</f>
        <v>167055</v>
      </c>
      <c r="F27" s="19"/>
    </row>
    <row r="28" ht="17.6" spans="1:6">
      <c r="A28" s="19"/>
      <c r="B28" s="20"/>
      <c r="C28" s="20"/>
      <c r="D28" s="20"/>
      <c r="E28" s="20"/>
      <c r="F28" s="19"/>
    </row>
    <row r="29" ht="17.6" spans="1:6">
      <c r="A29" s="19"/>
      <c r="B29" s="20"/>
      <c r="C29" s="20"/>
      <c r="D29" s="20"/>
      <c r="E29" s="20"/>
      <c r="F29" s="19"/>
    </row>
    <row r="30" ht="44" customHeight="1" spans="1:6">
      <c r="A30" s="19"/>
      <c r="B30" s="23" t="s">
        <v>401</v>
      </c>
      <c r="C30" s="23"/>
      <c r="D30" s="23" t="s">
        <v>402</v>
      </c>
      <c r="E30" s="23"/>
      <c r="F30" s="19"/>
    </row>
    <row r="31" ht="44" customHeight="1" spans="1:6">
      <c r="A31" s="19"/>
      <c r="B31" s="23" t="s">
        <v>403</v>
      </c>
      <c r="C31" s="23"/>
      <c r="D31" s="23" t="s">
        <v>404</v>
      </c>
      <c r="E31" s="23"/>
      <c r="F31" s="19"/>
    </row>
    <row r="32" ht="44" customHeight="1" spans="1:6">
      <c r="A32" s="19"/>
      <c r="B32" s="23" t="s">
        <v>405</v>
      </c>
      <c r="C32" s="23"/>
      <c r="D32" s="24" t="s">
        <v>406</v>
      </c>
      <c r="E32" s="23"/>
      <c r="F32" s="19"/>
    </row>
    <row r="33" ht="44" customHeight="1" spans="1:6">
      <c r="A33" s="19"/>
      <c r="B33" s="23" t="s">
        <v>407</v>
      </c>
      <c r="C33" s="23"/>
      <c r="D33" s="23" t="s">
        <v>408</v>
      </c>
      <c r="E33" s="23"/>
      <c r="F33" s="19"/>
    </row>
    <row r="34" ht="17.6" spans="1:6">
      <c r="A34" s="19"/>
      <c r="B34" s="20"/>
      <c r="C34" s="20"/>
      <c r="D34" s="20"/>
      <c r="E34" s="20"/>
      <c r="F34" s="19"/>
    </row>
    <row r="35" ht="17.6" spans="1:6">
      <c r="A35" s="19"/>
      <c r="B35" s="20"/>
      <c r="C35" s="20"/>
      <c r="D35" s="20"/>
      <c r="E35" s="20"/>
      <c r="F35" s="19"/>
    </row>
  </sheetData>
  <conditionalFormatting sqref="A1:F35">
    <cfRule type="containsErrors" dxfId="0" priority="1">
      <formula>ISERROR(A1)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E5C"/>
  </sheetPr>
  <dimension ref="A1:K65"/>
  <sheetViews>
    <sheetView showGridLines="0" workbookViewId="0">
      <pane ySplit="6" topLeftCell="A7" activePane="bottomLeft" state="frozen"/>
      <selection/>
      <selection pane="bottomLeft" activeCell="D1" sqref="D1"/>
    </sheetView>
  </sheetViews>
  <sheetFormatPr defaultColWidth="9" defaultRowHeight="16.8"/>
  <cols>
    <col min="1" max="1" width="3" customWidth="1"/>
    <col min="2" max="2" width="24" customWidth="1"/>
    <col min="3" max="3" width="28" customWidth="1"/>
    <col min="4" max="8" width="17" customWidth="1"/>
    <col min="9" max="9" width="3" customWidth="1"/>
    <col min="10" max="10" width="90" customWidth="1"/>
  </cols>
  <sheetData>
    <row r="1" ht="29" customHeight="1" spans="1:11">
      <c r="A1" s="1"/>
      <c r="B1" s="2" t="s">
        <v>409</v>
      </c>
      <c r="C1" s="1"/>
      <c r="D1" s="1"/>
      <c r="E1" s="1"/>
      <c r="F1" s="1"/>
      <c r="G1" s="1"/>
      <c r="H1" s="1"/>
      <c r="I1" s="1"/>
      <c r="J1" s="1"/>
      <c r="K1" s="1"/>
    </row>
    <row r="2" ht="29" customHeight="1" spans="1:11">
      <c r="A2" s="1"/>
      <c r="B2" s="1" t="s">
        <v>410</v>
      </c>
      <c r="C2" s="1"/>
      <c r="D2" s="1"/>
      <c r="E2" s="1"/>
      <c r="F2" s="1"/>
      <c r="G2" s="1"/>
      <c r="H2" s="1"/>
      <c r="I2" s="1"/>
      <c r="J2" s="1"/>
      <c r="K2" s="1"/>
    </row>
    <row r="3" ht="29" customHeight="1" spans="1:11">
      <c r="A3" s="1"/>
      <c r="B3" s="3" t="s">
        <v>411</v>
      </c>
      <c r="C3" s="3"/>
      <c r="D3" s="3"/>
      <c r="E3" s="3"/>
      <c r="F3" s="3"/>
      <c r="G3" s="12">
        <f>G30</f>
        <v>167055</v>
      </c>
      <c r="H3" s="1"/>
      <c r="I3" s="1"/>
      <c r="J3" s="1" t="s">
        <v>412</v>
      </c>
      <c r="K3" s="1"/>
    </row>
    <row r="4" ht="29" customHeight="1" spans="1:11">
      <c r="A4" s="1"/>
      <c r="B4" s="1" t="s">
        <v>413</v>
      </c>
      <c r="C4" s="1"/>
      <c r="D4" s="4">
        <v>4</v>
      </c>
      <c r="E4" s="1"/>
      <c r="F4" s="1" t="s">
        <v>414</v>
      </c>
      <c r="G4" s="13">
        <v>0.05</v>
      </c>
      <c r="H4" s="1"/>
      <c r="I4" s="1"/>
      <c r="J4" s="1"/>
      <c r="K4" s="1"/>
    </row>
    <row r="5" ht="29" customHeight="1" spans="1:11">
      <c r="A5" s="1"/>
      <c r="B5" s="1" t="s">
        <v>415</v>
      </c>
      <c r="C5" s="1"/>
      <c r="D5" s="4">
        <v>12</v>
      </c>
      <c r="E5" s="1"/>
      <c r="F5" s="1"/>
      <c r="G5" s="1"/>
      <c r="H5" s="1"/>
      <c r="I5" s="1"/>
      <c r="J5" s="1" t="s">
        <v>416</v>
      </c>
      <c r="K5" s="1"/>
    </row>
    <row r="6" ht="32" customHeight="1" spans="1:11">
      <c r="A6" s="1"/>
      <c r="B6" s="5" t="s">
        <v>417</v>
      </c>
      <c r="C6" s="5" t="s">
        <v>418</v>
      </c>
      <c r="D6" s="5" t="s">
        <v>419</v>
      </c>
      <c r="E6" s="5" t="s">
        <v>197</v>
      </c>
      <c r="F6" s="5" t="s">
        <v>420</v>
      </c>
      <c r="G6" s="5" t="s">
        <v>421</v>
      </c>
      <c r="H6" s="1"/>
      <c r="I6" s="1"/>
      <c r="J6" s="1" t="s">
        <v>422</v>
      </c>
      <c r="K6" s="1"/>
    </row>
    <row r="7" ht="29" customHeight="1" spans="1:11">
      <c r="A7" s="1"/>
      <c r="B7" s="1" t="s">
        <v>369</v>
      </c>
      <c r="C7" s="1" t="s">
        <v>370</v>
      </c>
      <c r="D7" s="6">
        <f>D4</f>
        <v>4</v>
      </c>
      <c r="E7" s="1" t="s">
        <v>423</v>
      </c>
      <c r="F7" s="14">
        <v>25000</v>
      </c>
      <c r="G7" s="15">
        <f t="shared" ref="G7:G26" si="0">IF(COUNT(D7,F7)&lt;2,NA(),D7*F7)</f>
        <v>100000</v>
      </c>
      <c r="H7" s="1"/>
      <c r="I7" s="1"/>
      <c r="J7" s="1" t="s">
        <v>424</v>
      </c>
      <c r="K7" s="1"/>
    </row>
    <row r="8" ht="29" customHeight="1" spans="1:11">
      <c r="A8" s="1"/>
      <c r="B8" s="1" t="s">
        <v>372</v>
      </c>
      <c r="C8" s="1" t="s">
        <v>82</v>
      </c>
      <c r="D8" s="7">
        <v>1</v>
      </c>
      <c r="E8" s="1" t="s">
        <v>425</v>
      </c>
      <c r="F8" s="16">
        <f>ROUNDUP(SUM(API测算!F8,API测算!H8)/100,0)*100</f>
        <v>100</v>
      </c>
      <c r="G8" s="15">
        <f t="shared" si="0"/>
        <v>100</v>
      </c>
      <c r="H8" s="1"/>
      <c r="I8" s="1"/>
      <c r="J8" s="1" t="s">
        <v>426</v>
      </c>
      <c r="K8" s="1"/>
    </row>
    <row r="9" ht="29" customHeight="1" spans="1:11">
      <c r="A9" s="1"/>
      <c r="B9" s="1"/>
      <c r="C9" s="1" t="s">
        <v>86</v>
      </c>
      <c r="D9" s="7">
        <v>1</v>
      </c>
      <c r="E9" s="1" t="s">
        <v>425</v>
      </c>
      <c r="F9" s="16">
        <f>ROUNDUP(SUM(API测算!F9:F11,API测算!H9:H11)/100,0)*100</f>
        <v>11200</v>
      </c>
      <c r="G9" s="15">
        <f t="shared" si="0"/>
        <v>11200</v>
      </c>
      <c r="H9" s="1"/>
      <c r="I9" s="1"/>
      <c r="J9" s="1" t="s">
        <v>427</v>
      </c>
      <c r="K9" s="1"/>
    </row>
    <row r="10" ht="29" customHeight="1" spans="1:11">
      <c r="A10" s="1"/>
      <c r="B10" s="1"/>
      <c r="C10" s="1" t="s">
        <v>89</v>
      </c>
      <c r="D10" s="7">
        <v>1</v>
      </c>
      <c r="E10" s="1" t="s">
        <v>425</v>
      </c>
      <c r="F10" s="16">
        <f>API测算!F17+API测算!H17-F8-F9</f>
        <v>20600</v>
      </c>
      <c r="G10" s="15">
        <f t="shared" si="0"/>
        <v>20600</v>
      </c>
      <c r="H10" s="1"/>
      <c r="I10" s="1"/>
      <c r="J10" s="1" t="s">
        <v>428</v>
      </c>
      <c r="K10" s="1"/>
    </row>
    <row r="11" ht="29" customHeight="1" spans="1:11">
      <c r="A11" s="1"/>
      <c r="B11" s="1"/>
      <c r="C11" s="1" t="s">
        <v>92</v>
      </c>
      <c r="D11" s="7">
        <v>1</v>
      </c>
      <c r="E11" s="1" t="s">
        <v>425</v>
      </c>
      <c r="F11" s="14">
        <v>0</v>
      </c>
      <c r="G11" s="15">
        <f t="shared" si="0"/>
        <v>0</v>
      </c>
      <c r="H11" s="1"/>
      <c r="I11" s="1"/>
      <c r="J11" s="1" t="s">
        <v>429</v>
      </c>
      <c r="K11" s="1"/>
    </row>
    <row r="12" ht="29" customHeight="1" spans="1:11">
      <c r="A12" s="1"/>
      <c r="B12" s="1" t="s">
        <v>377</v>
      </c>
      <c r="C12" s="1" t="s">
        <v>96</v>
      </c>
      <c r="D12" s="6">
        <f>$D$5</f>
        <v>12</v>
      </c>
      <c r="E12" s="1" t="s">
        <v>430</v>
      </c>
      <c r="F12" s="14">
        <v>450</v>
      </c>
      <c r="G12" s="15">
        <f t="shared" si="0"/>
        <v>5400</v>
      </c>
      <c r="H12" s="1"/>
      <c r="I12" s="1"/>
      <c r="J12" s="1" t="s">
        <v>431</v>
      </c>
      <c r="K12" s="1"/>
    </row>
    <row r="13" ht="29" customHeight="1" spans="1:11">
      <c r="A13" s="1"/>
      <c r="B13" s="1"/>
      <c r="C13" s="1" t="s">
        <v>100</v>
      </c>
      <c r="D13" s="6">
        <f>$D$5</f>
        <v>12</v>
      </c>
      <c r="E13" s="1" t="s">
        <v>430</v>
      </c>
      <c r="F13" s="14">
        <v>150</v>
      </c>
      <c r="G13" s="15">
        <f t="shared" si="0"/>
        <v>1800</v>
      </c>
      <c r="H13" s="1"/>
      <c r="I13" s="1"/>
      <c r="J13" s="1" t="s">
        <v>432</v>
      </c>
      <c r="K13" s="1"/>
    </row>
    <row r="14" ht="29" customHeight="1" spans="1:11">
      <c r="A14" s="1"/>
      <c r="B14" s="1"/>
      <c r="C14" s="1" t="s">
        <v>104</v>
      </c>
      <c r="D14" s="7">
        <v>1</v>
      </c>
      <c r="E14" s="1" t="s">
        <v>433</v>
      </c>
      <c r="F14" s="14">
        <v>500</v>
      </c>
      <c r="G14" s="15">
        <f t="shared" si="0"/>
        <v>500</v>
      </c>
      <c r="H14" s="1"/>
      <c r="I14" s="1"/>
      <c r="J14" s="1" t="s">
        <v>434</v>
      </c>
      <c r="K14" s="1"/>
    </row>
    <row r="15" ht="29" customHeight="1" spans="1:11">
      <c r="A15" s="1"/>
      <c r="B15" s="1"/>
      <c r="C15" s="1" t="s">
        <v>107</v>
      </c>
      <c r="D15" s="7">
        <v>1</v>
      </c>
      <c r="E15" s="1" t="s">
        <v>433</v>
      </c>
      <c r="F15" s="14">
        <v>300</v>
      </c>
      <c r="G15" s="15">
        <f t="shared" si="0"/>
        <v>300</v>
      </c>
      <c r="H15" s="1"/>
      <c r="I15" s="1"/>
      <c r="J15" s="1" t="s">
        <v>435</v>
      </c>
      <c r="K15" s="1"/>
    </row>
    <row r="16" ht="29" customHeight="1" spans="1:11">
      <c r="A16" s="1"/>
      <c r="B16" s="1"/>
      <c r="C16" s="1" t="s">
        <v>110</v>
      </c>
      <c r="D16" s="7">
        <v>1</v>
      </c>
      <c r="E16" s="1" t="s">
        <v>433</v>
      </c>
      <c r="F16" s="14">
        <v>1200</v>
      </c>
      <c r="G16" s="15">
        <f t="shared" si="0"/>
        <v>1200</v>
      </c>
      <c r="H16" s="1"/>
      <c r="I16" s="1"/>
      <c r="J16" s="1" t="s">
        <v>436</v>
      </c>
      <c r="K16" s="1"/>
    </row>
    <row r="17" ht="29" customHeight="1" spans="1:11">
      <c r="A17" s="1"/>
      <c r="B17" s="1"/>
      <c r="C17" s="1" t="s">
        <v>113</v>
      </c>
      <c r="D17" s="6">
        <f>$D$5</f>
        <v>12</v>
      </c>
      <c r="E17" s="1" t="s">
        <v>430</v>
      </c>
      <c r="F17" s="14">
        <v>1500</v>
      </c>
      <c r="G17" s="15">
        <f t="shared" si="0"/>
        <v>18000</v>
      </c>
      <c r="H17" s="1"/>
      <c r="I17" s="1"/>
      <c r="J17" s="1" t="s">
        <v>437</v>
      </c>
      <c r="K17" s="1"/>
    </row>
    <row r="18" ht="29" customHeight="1" spans="1:11">
      <c r="A18" s="1"/>
      <c r="B18" s="1" t="s">
        <v>384</v>
      </c>
      <c r="C18" s="1" t="s">
        <v>117</v>
      </c>
      <c r="D18" s="7">
        <v>30</v>
      </c>
      <c r="E18" s="1" t="s">
        <v>438</v>
      </c>
      <c r="F18" s="14">
        <v>0</v>
      </c>
      <c r="G18" s="15">
        <f t="shared" si="0"/>
        <v>0</v>
      </c>
      <c r="H18" s="1"/>
      <c r="I18" s="1"/>
      <c r="J18" s="1" t="s">
        <v>439</v>
      </c>
      <c r="K18" s="1"/>
    </row>
    <row r="19" ht="29" customHeight="1" spans="1:11">
      <c r="A19" s="1"/>
      <c r="B19" s="1"/>
      <c r="C19" s="1" t="s">
        <v>121</v>
      </c>
      <c r="D19" s="7">
        <v>1</v>
      </c>
      <c r="E19" s="1" t="s">
        <v>425</v>
      </c>
      <c r="F19" s="14">
        <v>0</v>
      </c>
      <c r="G19" s="15">
        <f t="shared" si="0"/>
        <v>0</v>
      </c>
      <c r="H19" s="1"/>
      <c r="I19" s="1"/>
      <c r="J19" s="1" t="s">
        <v>123</v>
      </c>
      <c r="K19" s="1"/>
    </row>
    <row r="20" ht="29" customHeight="1" spans="1:11">
      <c r="A20" s="1"/>
      <c r="B20" s="1"/>
      <c r="C20" s="1" t="s">
        <v>125</v>
      </c>
      <c r="D20" s="7">
        <v>1</v>
      </c>
      <c r="E20" s="1" t="s">
        <v>425</v>
      </c>
      <c r="F20" s="14">
        <v>0</v>
      </c>
      <c r="G20" s="15">
        <f t="shared" si="0"/>
        <v>0</v>
      </c>
      <c r="H20" s="1"/>
      <c r="I20" s="1"/>
      <c r="J20" s="1" t="s">
        <v>126</v>
      </c>
      <c r="K20" s="1"/>
    </row>
    <row r="21" ht="29" customHeight="1" spans="1:11">
      <c r="A21" s="1"/>
      <c r="B21" s="1"/>
      <c r="C21" s="1" t="s">
        <v>128</v>
      </c>
      <c r="D21" s="7">
        <v>1</v>
      </c>
      <c r="E21" s="1" t="s">
        <v>425</v>
      </c>
      <c r="F21" s="14">
        <v>0</v>
      </c>
      <c r="G21" s="15">
        <f t="shared" si="0"/>
        <v>0</v>
      </c>
      <c r="H21" s="1"/>
      <c r="I21" s="1"/>
      <c r="J21" s="1" t="s">
        <v>440</v>
      </c>
      <c r="K21" s="1"/>
    </row>
    <row r="22" ht="29" customHeight="1" spans="1:11">
      <c r="A22" s="1"/>
      <c r="B22" s="1" t="s">
        <v>387</v>
      </c>
      <c r="C22" s="1" t="s">
        <v>388</v>
      </c>
      <c r="D22" s="7">
        <v>1</v>
      </c>
      <c r="E22" s="1" t="s">
        <v>425</v>
      </c>
      <c r="F22" s="14">
        <v>0</v>
      </c>
      <c r="G22" s="15">
        <f t="shared" si="0"/>
        <v>0</v>
      </c>
      <c r="H22" s="1"/>
      <c r="I22" s="1"/>
      <c r="J22" s="1" t="s">
        <v>133</v>
      </c>
      <c r="K22" s="1"/>
    </row>
    <row r="23" ht="29" customHeight="1" spans="1:11">
      <c r="A23" s="1"/>
      <c r="B23" s="1"/>
      <c r="C23" s="1" t="s">
        <v>135</v>
      </c>
      <c r="D23" s="7">
        <v>30</v>
      </c>
      <c r="E23" s="1" t="s">
        <v>242</v>
      </c>
      <c r="F23" s="14">
        <v>0</v>
      </c>
      <c r="G23" s="15">
        <f t="shared" si="0"/>
        <v>0</v>
      </c>
      <c r="H23" s="1"/>
      <c r="I23" s="1"/>
      <c r="J23" s="1" t="s">
        <v>441</v>
      </c>
      <c r="K23" s="1"/>
    </row>
    <row r="24" ht="29" customHeight="1" spans="1:11">
      <c r="A24" s="1"/>
      <c r="B24" s="1"/>
      <c r="C24" s="1" t="s">
        <v>139</v>
      </c>
      <c r="D24" s="7">
        <v>20</v>
      </c>
      <c r="E24" s="1" t="s">
        <v>242</v>
      </c>
      <c r="F24" s="14">
        <v>0</v>
      </c>
      <c r="G24" s="15">
        <f t="shared" si="0"/>
        <v>0</v>
      </c>
      <c r="H24" s="1"/>
      <c r="I24" s="1"/>
      <c r="J24" s="1" t="s">
        <v>442</v>
      </c>
      <c r="K24" s="1"/>
    </row>
    <row r="25" ht="29" customHeight="1" spans="1:11">
      <c r="A25" s="1"/>
      <c r="B25" s="1"/>
      <c r="C25" s="1" t="s">
        <v>142</v>
      </c>
      <c r="D25" s="7">
        <v>20</v>
      </c>
      <c r="E25" s="1" t="s">
        <v>242</v>
      </c>
      <c r="F25" s="14">
        <v>0</v>
      </c>
      <c r="G25" s="15">
        <f t="shared" si="0"/>
        <v>0</v>
      </c>
      <c r="H25" s="1"/>
      <c r="I25" s="1"/>
      <c r="J25" s="1" t="s">
        <v>443</v>
      </c>
      <c r="K25" s="1"/>
    </row>
    <row r="26" ht="29" customHeight="1" spans="1:11">
      <c r="A26" s="1"/>
      <c r="B26" s="1" t="s">
        <v>393</v>
      </c>
      <c r="C26" s="1" t="s">
        <v>394</v>
      </c>
      <c r="D26" s="7">
        <v>1</v>
      </c>
      <c r="E26" s="1" t="s">
        <v>425</v>
      </c>
      <c r="F26" s="14">
        <v>0</v>
      </c>
      <c r="G26" s="15">
        <f t="shared" si="0"/>
        <v>0</v>
      </c>
      <c r="H26" s="1"/>
      <c r="I26" s="1"/>
      <c r="J26" s="1" t="s">
        <v>444</v>
      </c>
      <c r="K26" s="1"/>
    </row>
    <row r="27" ht="29" customHeight="1" spans="1:11">
      <c r="A27" s="1"/>
      <c r="B27" s="1"/>
      <c r="C27" s="1"/>
      <c r="D27" s="8"/>
      <c r="E27" s="1"/>
      <c r="F27" s="15"/>
      <c r="G27" s="15"/>
      <c r="H27" s="1"/>
      <c r="I27" s="1"/>
      <c r="J27" s="1"/>
      <c r="K27" s="1"/>
    </row>
    <row r="28" ht="29" customHeight="1" spans="1:11">
      <c r="A28" s="1"/>
      <c r="B28" s="3" t="s">
        <v>445</v>
      </c>
      <c r="C28" s="3"/>
      <c r="D28" s="9"/>
      <c r="E28" s="3"/>
      <c r="F28" s="17"/>
      <c r="G28" s="17">
        <f>SUM(G7:G26)</f>
        <v>159100</v>
      </c>
      <c r="H28" s="1"/>
      <c r="I28" s="1"/>
      <c r="J28" s="1" t="s">
        <v>446</v>
      </c>
      <c r="K28" s="1"/>
    </row>
    <row r="29" ht="29" customHeight="1" spans="1:11">
      <c r="A29" s="1"/>
      <c r="B29" s="3" t="s">
        <v>396</v>
      </c>
      <c r="C29" s="3" t="s">
        <v>397</v>
      </c>
      <c r="D29" s="9"/>
      <c r="E29" s="3"/>
      <c r="F29" s="17"/>
      <c r="G29" s="17">
        <f>G28*$G$4</f>
        <v>7955</v>
      </c>
      <c r="H29" s="1"/>
      <c r="I29" s="1"/>
      <c r="J29" s="1" t="s">
        <v>447</v>
      </c>
      <c r="K29" s="1"/>
    </row>
    <row r="30" ht="29" customHeight="1" spans="1:11">
      <c r="A30" s="1"/>
      <c r="B30" s="10" t="s">
        <v>399</v>
      </c>
      <c r="C30" s="10"/>
      <c r="D30" s="11"/>
      <c r="E30" s="10"/>
      <c r="F30" s="18"/>
      <c r="G30" s="18">
        <f>SUM(G28:G29)</f>
        <v>167055</v>
      </c>
      <c r="H30" s="1"/>
      <c r="I30" s="1"/>
      <c r="J30" s="1"/>
      <c r="K30" s="1"/>
    </row>
    <row r="31" ht="29" customHeight="1" spans="1:11">
      <c r="A31" s="1"/>
      <c r="B31" s="1"/>
      <c r="C31" s="1"/>
      <c r="D31" s="8"/>
      <c r="E31" s="1"/>
      <c r="F31" s="15"/>
      <c r="G31" s="15"/>
      <c r="H31" s="1"/>
      <c r="I31" s="1"/>
      <c r="J31" s="1"/>
      <c r="K31" s="1"/>
    </row>
    <row r="32" ht="29" customHeight="1" spans="1:11">
      <c r="A32" s="1"/>
      <c r="B32" s="1"/>
      <c r="C32" s="1"/>
      <c r="D32" s="8"/>
      <c r="E32" s="1"/>
      <c r="F32" s="15"/>
      <c r="G32" s="15"/>
      <c r="H32" s="1"/>
      <c r="I32" s="1"/>
      <c r="J32" s="1"/>
      <c r="K32" s="1"/>
    </row>
    <row r="33" ht="29" customHeight="1" spans="1:11">
      <c r="A33" s="1"/>
      <c r="B33" s="1" t="s">
        <v>448</v>
      </c>
      <c r="C33" s="1"/>
      <c r="D33" s="8"/>
      <c r="E33" s="1"/>
      <c r="F33" s="15"/>
      <c r="G33" s="15"/>
      <c r="H33" s="1"/>
      <c r="I33" s="1"/>
      <c r="J33" s="1" t="s">
        <v>449</v>
      </c>
      <c r="K33" s="1"/>
    </row>
    <row r="34" ht="29" customHeight="1" spans="1:11">
      <c r="A34" s="1"/>
      <c r="B34" s="1"/>
      <c r="C34" s="1"/>
      <c r="D34" s="8"/>
      <c r="E34" s="1"/>
      <c r="F34" s="15"/>
      <c r="G34" s="15"/>
      <c r="H34" s="1"/>
      <c r="I34" s="1"/>
      <c r="J34" s="1"/>
      <c r="K34" s="1"/>
    </row>
    <row r="35" ht="29" customHeight="1" spans="1:11">
      <c r="A35" s="1"/>
      <c r="B35" s="1" t="s">
        <v>450</v>
      </c>
      <c r="C35" s="1"/>
      <c r="D35" s="7">
        <v>1</v>
      </c>
      <c r="E35" s="1" t="s">
        <v>425</v>
      </c>
      <c r="F35" s="14">
        <v>5000</v>
      </c>
      <c r="G35" s="15">
        <f>D35*F35</f>
        <v>5000</v>
      </c>
      <c r="H35" s="1"/>
      <c r="I35" s="1"/>
      <c r="J35" s="1" t="s">
        <v>451</v>
      </c>
      <c r="K35" s="1"/>
    </row>
    <row r="36" ht="29" customHeight="1" spans="1:11">
      <c r="A36" s="1"/>
      <c r="B36" s="1"/>
      <c r="C36" s="1"/>
      <c r="D36" s="1"/>
      <c r="E36" s="1"/>
      <c r="F36" s="15"/>
      <c r="G36" s="15"/>
      <c r="H36" s="1"/>
      <c r="I36" s="1"/>
      <c r="J36" s="1"/>
      <c r="K36" s="1"/>
    </row>
    <row r="37" ht="29" customHeight="1" spans="1:11">
      <c r="A37" s="1"/>
      <c r="B37" s="1" t="s">
        <v>452</v>
      </c>
      <c r="C37" s="1"/>
      <c r="D37" s="1"/>
      <c r="E37" s="1"/>
      <c r="F37" s="15"/>
      <c r="G37" s="15">
        <f>(G28+G35)*(1+$G$4)</f>
        <v>172305</v>
      </c>
      <c r="H37" s="1"/>
      <c r="I37" s="1"/>
      <c r="J37" s="1" t="s">
        <v>453</v>
      </c>
      <c r="K37" s="1"/>
    </row>
    <row r="38" ht="29" customHeight="1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29" customHeight="1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29" customHeight="1" spans="1:11">
      <c r="A40" s="1"/>
      <c r="B40" s="1" t="s">
        <v>454</v>
      </c>
      <c r="C40" s="1"/>
      <c r="D40" s="1"/>
      <c r="E40" s="1"/>
      <c r="F40" s="1"/>
      <c r="G40" s="1"/>
      <c r="H40" s="1"/>
      <c r="I40" s="1"/>
      <c r="J40" s="1" t="s">
        <v>455</v>
      </c>
      <c r="K40" s="1"/>
    </row>
    <row r="41" ht="29" customHeight="1" spans="1:11">
      <c r="A41" s="1"/>
      <c r="B41" s="1" t="s">
        <v>456</v>
      </c>
      <c r="C41" s="1"/>
      <c r="D41" s="1"/>
      <c r="E41" s="1"/>
      <c r="F41" s="1"/>
      <c r="G41" s="1"/>
      <c r="H41" s="1"/>
      <c r="I41" s="1"/>
      <c r="J41" s="1" t="s">
        <v>457</v>
      </c>
      <c r="K41" s="1"/>
    </row>
    <row r="42" ht="29" customHeight="1" spans="1:11">
      <c r="A42" s="1"/>
      <c r="B42" s="1" t="s">
        <v>458</v>
      </c>
      <c r="C42" s="1"/>
      <c r="D42" s="1"/>
      <c r="E42" s="1"/>
      <c r="F42" s="1"/>
      <c r="G42" s="1"/>
      <c r="H42" s="1"/>
      <c r="I42" s="1"/>
      <c r="J42" s="1" t="s">
        <v>459</v>
      </c>
      <c r="K42" s="1"/>
    </row>
    <row r="43" ht="29" customHeight="1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29" customHeight="1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29" customHeight="1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29" customHeight="1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29" customHeight="1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29" customHeight="1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29" customHeight="1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29" customHeight="1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29" customHeight="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29" customHeight="1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29" customHeight="1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29" customHeight="1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29" customHeight="1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29" customHeight="1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29" customHeight="1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29" customHeight="1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29" customHeight="1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29" customHeight="1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29" customHeight="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29" customHeight="1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29" customHeight="1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29" customHeight="1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29" customHeight="1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conditionalFormatting sqref="A1:K65">
    <cfRule type="containsErrors" dxfId="0" priority="1">
      <formula>ISERROR(A1)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研发过程节点</vt:lpstr>
      <vt:lpstr>第一阶段内容</vt:lpstr>
      <vt:lpstr>单价依据与范围</vt:lpstr>
      <vt:lpstr>API参数</vt:lpstr>
      <vt:lpstr>API测算</vt:lpstr>
      <vt:lpstr>费用总表</vt:lpstr>
      <vt:lpstr>成本预算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杜大同(菜鸟-地网运输技术部 剑笑)</cp:lastModifiedBy>
  <dcterms:created xsi:type="dcterms:W3CDTF">2026-09-18T16:01:00Z</dcterms:created>
  <dcterms:modified xsi:type="dcterms:W3CDTF">2026-09-24T00:36:50Z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9705A93862C47A68010FAC6A14D64DDD_42</vt:lpwstr>
  </property>
  <property fmtid="{D5CDD505-2E9C-101B-9397-08002B2CF9AE}" pid="3" name="KSOProductBuildVer">
    <vt:lpwstr>2052-12.1.21938.21938</vt:lpwstr>
  </property>
</Properties>
</file>